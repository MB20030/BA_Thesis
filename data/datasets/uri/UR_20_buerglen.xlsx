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Y:\LA\Alle\Abstimmung\2020\08.03.2020 Kantonale Wahlen\Stat. Auswertung LR-Wahlen\Bürglen\"/>
    </mc:Choice>
  </mc:AlternateContent>
  <bookViews>
    <workbookView xWindow="480" yWindow="75" windowWidth="16380" windowHeight="9345"/>
  </bookViews>
  <sheets>
    <sheet name="Ausw. Altdorf" sheetId="2" r:id="rId1"/>
  </sheets>
  <definedNames>
    <definedName name="Felber">#REF!</definedName>
  </definedNames>
  <calcPr calcId="162913"/>
</workbook>
</file>

<file path=xl/calcChain.xml><?xml version="1.0" encoding="utf-8"?>
<calcChain xmlns="http://schemas.openxmlformats.org/spreadsheetml/2006/main">
  <c r="H38" i="2" l="1"/>
  <c r="S38" i="2"/>
  <c r="T38" i="2"/>
  <c r="U38" i="2"/>
  <c r="V38" i="2"/>
  <c r="D38" i="2"/>
  <c r="F38" i="2"/>
  <c r="G38" i="2"/>
  <c r="I38" i="2"/>
  <c r="G25" i="2"/>
  <c r="G11" i="2"/>
  <c r="W36" i="2"/>
  <c r="N36" i="2" s="1"/>
  <c r="Q36" i="2"/>
  <c r="M36" i="2"/>
  <c r="J36" i="2"/>
  <c r="W34" i="2"/>
  <c r="Q34" i="2"/>
  <c r="M34" i="2"/>
  <c r="J34" i="2"/>
  <c r="W35" i="2"/>
  <c r="N35" i="2" s="1"/>
  <c r="Q35" i="2"/>
  <c r="M35" i="2"/>
  <c r="J35" i="2"/>
  <c r="W33" i="2"/>
  <c r="N33" i="2" s="1"/>
  <c r="Q33" i="2"/>
  <c r="M33" i="2"/>
  <c r="J33" i="2"/>
  <c r="E33" i="2"/>
  <c r="V31" i="2"/>
  <c r="U31" i="2"/>
  <c r="T31" i="2"/>
  <c r="S31" i="2"/>
  <c r="T11" i="2"/>
  <c r="T3" i="2"/>
  <c r="U3" i="2"/>
  <c r="V3" i="2"/>
  <c r="T25" i="2"/>
  <c r="V17" i="2"/>
  <c r="T17" i="2"/>
  <c r="U17" i="2"/>
  <c r="T51" i="2"/>
  <c r="T44" i="2"/>
  <c r="U44" i="2"/>
  <c r="V44" i="2"/>
  <c r="G51" i="2"/>
  <c r="E19" i="2"/>
  <c r="J19" i="2"/>
  <c r="M19" i="2"/>
  <c r="Q19" i="2"/>
  <c r="W19" i="2"/>
  <c r="N19" i="2" s="1"/>
  <c r="J23" i="2"/>
  <c r="M23" i="2"/>
  <c r="Q23" i="2"/>
  <c r="W23" i="2"/>
  <c r="N23" i="2" s="1"/>
  <c r="J21" i="2"/>
  <c r="M21" i="2"/>
  <c r="Q21" i="2"/>
  <c r="W21" i="2"/>
  <c r="N21" i="2" s="1"/>
  <c r="J22" i="2"/>
  <c r="M22" i="2"/>
  <c r="Q22" i="2"/>
  <c r="W22" i="2"/>
  <c r="N22" i="2" s="1"/>
  <c r="D25" i="2"/>
  <c r="F25" i="2"/>
  <c r="H25" i="2"/>
  <c r="I25" i="2"/>
  <c r="S25" i="2"/>
  <c r="U25" i="2"/>
  <c r="V25" i="2"/>
  <c r="S44" i="2"/>
  <c r="E46" i="2"/>
  <c r="J46" i="2"/>
  <c r="M46" i="2"/>
  <c r="Q46" i="2"/>
  <c r="W46" i="2"/>
  <c r="N46" i="2" s="1"/>
  <c r="J47" i="2"/>
  <c r="M47" i="2"/>
  <c r="Q47" i="2"/>
  <c r="W47" i="2"/>
  <c r="N47" i="2" s="1"/>
  <c r="J48" i="2"/>
  <c r="M48" i="2"/>
  <c r="Q48" i="2"/>
  <c r="W48" i="2"/>
  <c r="N48" i="2" s="1"/>
  <c r="J49" i="2"/>
  <c r="M49" i="2"/>
  <c r="Q49" i="2"/>
  <c r="W49" i="2"/>
  <c r="N49" i="2" s="1"/>
  <c r="D51" i="2"/>
  <c r="F51" i="2"/>
  <c r="H51" i="2"/>
  <c r="I51" i="2"/>
  <c r="S51" i="2"/>
  <c r="U51" i="2"/>
  <c r="V51" i="2"/>
  <c r="M5" i="2"/>
  <c r="Q5" i="2"/>
  <c r="W5" i="2"/>
  <c r="N5" i="2" s="1"/>
  <c r="M7" i="2"/>
  <c r="Q7" i="2"/>
  <c r="W7" i="2"/>
  <c r="N7" i="2" s="1"/>
  <c r="M9" i="2"/>
  <c r="Q9" i="2"/>
  <c r="W9" i="2"/>
  <c r="N9" i="2" s="1"/>
  <c r="M6" i="2"/>
  <c r="Q6" i="2"/>
  <c r="W6" i="2"/>
  <c r="N6" i="2" s="1"/>
  <c r="J5" i="2"/>
  <c r="J7" i="2"/>
  <c r="J9" i="2"/>
  <c r="E6" i="2"/>
  <c r="J6" i="2"/>
  <c r="W20" i="2"/>
  <c r="N20" i="2" s="1"/>
  <c r="J20" i="2"/>
  <c r="W8" i="2"/>
  <c r="N8" i="2" s="1"/>
  <c r="J8" i="2"/>
  <c r="S3" i="2"/>
  <c r="S17" i="2"/>
  <c r="S11" i="2"/>
  <c r="U11" i="2"/>
  <c r="V11" i="2"/>
  <c r="Q20" i="2"/>
  <c r="Q8" i="2"/>
  <c r="M8" i="2"/>
  <c r="M20" i="2"/>
  <c r="F11" i="2"/>
  <c r="H11" i="2"/>
  <c r="I11" i="2"/>
  <c r="D11" i="2"/>
  <c r="E5" i="2" l="1"/>
  <c r="B5" i="2" s="1"/>
  <c r="R5" i="2" s="1"/>
  <c r="E21" i="2"/>
  <c r="B21" i="2" s="1"/>
  <c r="R21" i="2" s="1"/>
  <c r="X21" i="2" s="1"/>
  <c r="E20" i="2"/>
  <c r="B20" i="2" s="1"/>
  <c r="O20" i="2" s="1"/>
  <c r="E48" i="2"/>
  <c r="B48" i="2" s="1"/>
  <c r="K48" i="2" s="1"/>
  <c r="E34" i="2"/>
  <c r="B34" i="2" s="1"/>
  <c r="R34" i="2" s="1"/>
  <c r="X34" i="2" s="1"/>
  <c r="E8" i="2"/>
  <c r="B8" i="2" s="1"/>
  <c r="K8" i="2" s="1"/>
  <c r="E9" i="2"/>
  <c r="B9" i="2" s="1"/>
  <c r="R9" i="2" s="1"/>
  <c r="X9" i="2" s="1"/>
  <c r="E7" i="2"/>
  <c r="B7" i="2" s="1"/>
  <c r="O7" i="2" s="1"/>
  <c r="B19" i="2"/>
  <c r="R19" i="2" s="1"/>
  <c r="X19" i="2" s="1"/>
  <c r="B33" i="2"/>
  <c r="K33" i="2" s="1"/>
  <c r="B6" i="2"/>
  <c r="K6" i="2" s="1"/>
  <c r="J25" i="2"/>
  <c r="W25" i="2"/>
  <c r="J11" i="2"/>
  <c r="W51" i="2"/>
  <c r="W38" i="2"/>
  <c r="J51" i="2"/>
  <c r="N11" i="2"/>
  <c r="J38" i="2"/>
  <c r="W11" i="2"/>
  <c r="B46" i="2"/>
  <c r="N25" i="2"/>
  <c r="N34" i="2"/>
  <c r="E22" i="2" l="1"/>
  <c r="B22" i="2" s="1"/>
  <c r="K22" i="2" s="1"/>
  <c r="R48" i="2"/>
  <c r="X48" i="2" s="1"/>
  <c r="E47" i="2"/>
  <c r="B47" i="2" s="1"/>
  <c r="O48" i="2"/>
  <c r="K21" i="2"/>
  <c r="O21" i="2"/>
  <c r="R33" i="2"/>
  <c r="X33" i="2" s="1"/>
  <c r="O33" i="2"/>
  <c r="E35" i="2"/>
  <c r="E23" i="2"/>
  <c r="K19" i="2"/>
  <c r="O19" i="2"/>
  <c r="R8" i="2"/>
  <c r="X8" i="2" s="1"/>
  <c r="O6" i="2"/>
  <c r="K7" i="2"/>
  <c r="R7" i="2"/>
  <c r="X7" i="2" s="1"/>
  <c r="R20" i="2"/>
  <c r="X20" i="2" s="1"/>
  <c r="K20" i="2"/>
  <c r="R6" i="2"/>
  <c r="X6" i="2" s="1"/>
  <c r="K5" i="2"/>
  <c r="O5" i="2"/>
  <c r="K9" i="2"/>
  <c r="O8" i="2"/>
  <c r="O9" i="2"/>
  <c r="K34" i="2"/>
  <c r="X5" i="2"/>
  <c r="N51" i="2"/>
  <c r="O34" i="2"/>
  <c r="R46" i="2"/>
  <c r="K46" i="2"/>
  <c r="N38" i="2"/>
  <c r="O46" i="2"/>
  <c r="O22" i="2" l="1"/>
  <c r="R22" i="2"/>
  <c r="X22" i="2" s="1"/>
  <c r="E49" i="2"/>
  <c r="B49" i="2" s="1"/>
  <c r="K47" i="2"/>
  <c r="R47" i="2"/>
  <c r="X47" i="2" s="1"/>
  <c r="O47" i="2"/>
  <c r="E36" i="2"/>
  <c r="B36" i="2" s="1"/>
  <c r="B35" i="2"/>
  <c r="B23" i="2"/>
  <c r="C11" i="2"/>
  <c r="X46" i="2"/>
  <c r="K49" i="2" l="1"/>
  <c r="R49" i="2"/>
  <c r="X49" i="2" s="1"/>
  <c r="O49" i="2"/>
  <c r="K35" i="2"/>
  <c r="O35" i="2"/>
  <c r="R35" i="2"/>
  <c r="K36" i="2"/>
  <c r="R36" i="2"/>
  <c r="X36" i="2" s="1"/>
  <c r="O36" i="2"/>
  <c r="O23" i="2"/>
  <c r="R23" i="2"/>
  <c r="K23" i="2"/>
  <c r="E11" i="2"/>
  <c r="B11" i="2"/>
  <c r="X35" i="2" l="1"/>
  <c r="X23" i="2"/>
  <c r="C25" i="2"/>
  <c r="R11" i="2"/>
  <c r="X11" i="2" s="1"/>
  <c r="K11" i="2"/>
  <c r="O11" i="2"/>
  <c r="C51" i="2" l="1"/>
  <c r="E51" i="2"/>
  <c r="C38" i="2"/>
  <c r="E25" i="2"/>
  <c r="E38" i="2" l="1"/>
  <c r="B51" i="2"/>
  <c r="B38" i="2"/>
  <c r="B25" i="2"/>
  <c r="R51" i="2" l="1"/>
  <c r="X51" i="2" s="1"/>
  <c r="K51" i="2"/>
  <c r="O51" i="2"/>
  <c r="R38" i="2"/>
  <c r="X38" i="2" s="1"/>
  <c r="K38" i="2"/>
  <c r="O38" i="2"/>
  <c r="K25" i="2"/>
  <c r="O25" i="2"/>
  <c r="R25" i="2"/>
  <c r="X25" i="2" s="1"/>
</calcChain>
</file>

<file path=xl/sharedStrings.xml><?xml version="1.0" encoding="utf-8"?>
<sst xmlns="http://schemas.openxmlformats.org/spreadsheetml/2006/main" count="127" uniqueCount="37">
  <si>
    <t>Name</t>
  </si>
  <si>
    <t>Stimmen</t>
  </si>
  <si>
    <t>Stimmen von eigener Liste</t>
  </si>
  <si>
    <t>Stimmen von veränderten WZ der Liste</t>
  </si>
  <si>
    <t>Stimmen von fremden Listen</t>
  </si>
  <si>
    <t>Kumulierte Stimmen auf fremden Listen</t>
  </si>
  <si>
    <t>Kumulierte Kandidatenstimmen auf Listen der</t>
  </si>
  <si>
    <t>unver.</t>
  </si>
  <si>
    <t>ver.</t>
  </si>
  <si>
    <t>Total</t>
  </si>
  <si>
    <t>FDP</t>
  </si>
  <si>
    <t>SP/GB</t>
  </si>
  <si>
    <t>SVP</t>
  </si>
  <si>
    <t>FL</t>
  </si>
  <si>
    <t>abs.</t>
  </si>
  <si>
    <t>%</t>
  </si>
  <si>
    <t>in %</t>
  </si>
  <si>
    <t>Diese Spalten manuell nachtragen, auch Parteien ändern!</t>
  </si>
  <si>
    <t>CVP</t>
  </si>
  <si>
    <t xml:space="preserve">Gisler Thomas </t>
  </si>
  <si>
    <t xml:space="preserve">Gisler Tobias </t>
  </si>
  <si>
    <t>Joos-Widmer Jolanda</t>
  </si>
  <si>
    <t xml:space="preserve">Röthlin Reto </t>
  </si>
  <si>
    <t xml:space="preserve">Ananthavettivelu Rag </t>
  </si>
  <si>
    <t xml:space="preserve">Kluge Harriet </t>
  </si>
  <si>
    <t xml:space="preserve">Christen-Zarri Miriam </t>
  </si>
  <si>
    <t xml:space="preserve">Epp Patrik </t>
  </si>
  <si>
    <t xml:space="preserve">Ziegler Zacharias </t>
  </si>
  <si>
    <t xml:space="preserve">Wipfli Nicola </t>
  </si>
  <si>
    <t xml:space="preserve">Seeholzer Christoph </t>
  </si>
  <si>
    <t>Arnold-Fassbind Alois</t>
  </si>
  <si>
    <t xml:space="preserve">Arnold Alois </t>
  </si>
  <si>
    <t>Gisler-Arnold Hansueli</t>
  </si>
  <si>
    <t>Gisler Sepp</t>
  </si>
  <si>
    <t>Arnold Bernadette</t>
  </si>
  <si>
    <t>Gisler Claudia</t>
  </si>
  <si>
    <t xml:space="preserve">Gisler Karin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</si>
</sst>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/>
  </cellStyleXfs>
  <cellXfs count="114">
    <xf numFmtId="0" fontId="0" fillId="0" borderId="0" xfId="0">
      <alignment vertical="center"/>
    </xf>
    <xf numFmtId="0" fontId="0" fillId="0" borderId="0" xfId="0" applyBorder="1">
      <alignment vertical="center"/>
    </xf>
    <xf numFmtId="165" fontId="0" fillId="0" borderId="0" xfId="0" applyNumberFormat="1">
      <alignment vertical="center"/>
    </xf>
    <xf numFmtId="0" fontId="4" fillId="0" borderId="0" xfId="0" applyFont="1">
      <alignment vertical="center"/>
    </xf>
    <xf numFmtId="1" fontId="5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vertical="center"/>
    </xf>
    <xf numFmtId="1" fontId="5" fillId="0" borderId="3" xfId="1" applyNumberFormat="1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3" fillId="0" borderId="0" xfId="0" applyFont="1" applyBorder="1">
      <alignment vertical="center"/>
    </xf>
    <xf numFmtId="0" fontId="7" fillId="0" borderId="0" xfId="0" applyFont="1">
      <alignment vertical="center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165" fontId="9" fillId="0" borderId="7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indent="1"/>
    </xf>
    <xf numFmtId="165" fontId="10" fillId="0" borderId="9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Border="1" applyAlignment="1">
      <alignment vertical="center"/>
    </xf>
    <xf numFmtId="1" fontId="11" fillId="0" borderId="9" xfId="0" applyNumberFormat="1" applyFont="1" applyBorder="1" applyAlignment="1">
      <alignment horizontal="center" vertical="center"/>
    </xf>
    <xf numFmtId="1" fontId="11" fillId="0" borderId="9" xfId="0" applyNumberFormat="1" applyFont="1" applyFill="1" applyBorder="1" applyAlignment="1">
      <alignment horizontal="center" vertical="center" wrapText="1"/>
    </xf>
    <xf numFmtId="1" fontId="11" fillId="0" borderId="9" xfId="1" applyNumberFormat="1" applyFont="1" applyFill="1" applyBorder="1" applyAlignment="1">
      <alignment horizontal="center" vertical="center" wrapText="1"/>
    </xf>
    <xf numFmtId="1" fontId="11" fillId="0" borderId="0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Fill="1" applyBorder="1" applyAlignment="1">
      <alignment horizontal="center" vertical="center" wrapText="1"/>
    </xf>
    <xf numFmtId="1" fontId="11" fillId="0" borderId="1" xfId="1" applyNumberFormat="1" applyFont="1" applyFill="1" applyBorder="1" applyAlignment="1">
      <alignment horizontal="center" vertical="center" wrapText="1"/>
    </xf>
    <xf numFmtId="164" fontId="11" fillId="0" borderId="9" xfId="1" applyNumberFormat="1" applyFont="1" applyFill="1" applyBorder="1" applyAlignment="1">
      <alignment horizontal="center" vertical="center" wrapText="1"/>
    </xf>
    <xf numFmtId="0" fontId="11" fillId="0" borderId="1" xfId="0" applyNumberFormat="1" applyFont="1" applyBorder="1" applyAlignment="1">
      <alignment horizontal="left" vertical="center" indent="1"/>
    </xf>
    <xf numFmtId="1" fontId="11" fillId="0" borderId="0" xfId="1" applyNumberFormat="1" applyFont="1" applyFill="1" applyBorder="1" applyAlignment="1">
      <alignment horizontal="center" vertical="center" wrapText="1"/>
    </xf>
    <xf numFmtId="165" fontId="11" fillId="0" borderId="9" xfId="1" applyNumberFormat="1" applyFont="1" applyFill="1" applyBorder="1" applyAlignment="1">
      <alignment horizontal="center" vertical="center" wrapText="1"/>
    </xf>
    <xf numFmtId="0" fontId="11" fillId="0" borderId="3" xfId="0" applyNumberFormat="1" applyFont="1" applyBorder="1" applyAlignment="1">
      <alignment vertical="center"/>
    </xf>
    <xf numFmtId="1" fontId="11" fillId="0" borderId="11" xfId="0" applyNumberFormat="1" applyFont="1" applyBorder="1" applyAlignment="1">
      <alignment horizontal="center" vertical="center"/>
    </xf>
    <xf numFmtId="1" fontId="11" fillId="0" borderId="11" xfId="0" applyNumberFormat="1" applyFont="1" applyFill="1" applyBorder="1" applyAlignment="1">
      <alignment horizontal="center" vertical="center" wrapText="1"/>
    </xf>
    <xf numFmtId="1" fontId="11" fillId="0" borderId="11" xfId="1" applyNumberFormat="1" applyFont="1" applyFill="1" applyBorder="1" applyAlignment="1">
      <alignment horizontal="center" vertical="center" wrapText="1"/>
    </xf>
    <xf numFmtId="1" fontId="11" fillId="0" borderId="4" xfId="0" applyNumberFormat="1" applyFont="1" applyFill="1" applyBorder="1" applyAlignment="1">
      <alignment horizontal="center" vertical="center" wrapText="1"/>
    </xf>
    <xf numFmtId="1" fontId="11" fillId="0" borderId="3" xfId="0" applyNumberFormat="1" applyFont="1" applyFill="1" applyBorder="1" applyAlignment="1">
      <alignment horizontal="center" vertical="center" wrapText="1"/>
    </xf>
    <xf numFmtId="1" fontId="11" fillId="0" borderId="3" xfId="1" applyNumberFormat="1" applyFont="1" applyFill="1" applyBorder="1" applyAlignment="1">
      <alignment horizontal="center" vertical="center" wrapText="1"/>
    </xf>
    <xf numFmtId="164" fontId="11" fillId="0" borderId="11" xfId="1" applyNumberFormat="1" applyFont="1" applyFill="1" applyBorder="1" applyAlignment="1">
      <alignment horizontal="center" vertical="center" wrapText="1"/>
    </xf>
    <xf numFmtId="0" fontId="7" fillId="0" borderId="4" xfId="0" applyFont="1" applyBorder="1">
      <alignment vertical="center"/>
    </xf>
    <xf numFmtId="0" fontId="11" fillId="0" borderId="3" xfId="0" applyNumberFormat="1" applyFont="1" applyBorder="1" applyAlignment="1">
      <alignment horizontal="left" vertical="center" indent="1"/>
    </xf>
    <xf numFmtId="1" fontId="11" fillId="0" borderId="4" xfId="1" applyNumberFormat="1" applyFont="1" applyFill="1" applyBorder="1" applyAlignment="1">
      <alignment horizontal="center" vertical="center" wrapText="1"/>
    </xf>
    <xf numFmtId="165" fontId="11" fillId="0" borderId="11" xfId="1" applyNumberFormat="1" applyFont="1" applyFill="1" applyBorder="1" applyAlignment="1">
      <alignment horizontal="center" vertical="center" wrapText="1"/>
    </xf>
    <xf numFmtId="1" fontId="7" fillId="0" borderId="0" xfId="0" applyNumberFormat="1" applyFont="1" applyBorder="1">
      <alignment vertical="center"/>
    </xf>
    <xf numFmtId="0" fontId="7" fillId="0" borderId="0" xfId="0" applyFont="1" applyBorder="1">
      <alignment vertical="center"/>
    </xf>
    <xf numFmtId="0" fontId="11" fillId="0" borderId="1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indent="1"/>
    </xf>
    <xf numFmtId="165" fontId="11" fillId="0" borderId="9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164" fontId="12" fillId="2" borderId="11" xfId="1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left" vertical="center" indent="1"/>
    </xf>
    <xf numFmtId="0" fontId="12" fillId="2" borderId="3" xfId="0" applyFont="1" applyFill="1" applyBorder="1" applyAlignment="1">
      <alignment horizontal="center" vertical="center" wrapText="1"/>
    </xf>
    <xf numFmtId="165" fontId="12" fillId="2" borderId="1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6" fillId="0" borderId="0" xfId="0" applyFont="1" applyAlignment="1">
      <alignment vertical="center"/>
    </xf>
    <xf numFmtId="0" fontId="11" fillId="0" borderId="1" xfId="0" applyNumberFormat="1" applyFont="1" applyFill="1" applyBorder="1" applyAlignment="1">
      <alignment vertical="center"/>
    </xf>
    <xf numFmtId="1" fontId="11" fillId="0" borderId="9" xfId="0" applyNumberFormat="1" applyFont="1" applyFill="1" applyBorder="1" applyAlignment="1">
      <alignment horizontal="center" vertical="center"/>
    </xf>
    <xf numFmtId="0" fontId="11" fillId="0" borderId="3" xfId="0" applyNumberFormat="1" applyFont="1" applyFill="1" applyBorder="1" applyAlignment="1">
      <alignment vertical="center"/>
    </xf>
    <xf numFmtId="1" fontId="11" fillId="0" borderId="11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5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165" fontId="12" fillId="0" borderId="7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indent="1"/>
    </xf>
    <xf numFmtId="0" fontId="11" fillId="0" borderId="0" xfId="0" applyFont="1" applyFill="1">
      <alignment vertical="center"/>
    </xf>
    <xf numFmtId="0" fontId="11" fillId="0" borderId="4" xfId="0" applyFont="1" applyBorder="1">
      <alignment vertical="center"/>
    </xf>
    <xf numFmtId="0" fontId="11" fillId="0" borderId="4" xfId="0" applyFont="1" applyFill="1" applyBorder="1">
      <alignment vertical="center"/>
    </xf>
    <xf numFmtId="0" fontId="11" fillId="0" borderId="0" xfId="0" applyFont="1" applyBorder="1">
      <alignment vertical="center"/>
    </xf>
    <xf numFmtId="0" fontId="11" fillId="0" borderId="0" xfId="0" applyFont="1" applyFill="1" applyBorder="1">
      <alignment vertical="center"/>
    </xf>
    <xf numFmtId="0" fontId="12" fillId="2" borderId="11" xfId="0" applyFont="1" applyFill="1" applyBorder="1" applyAlignment="1">
      <alignment vertical="center"/>
    </xf>
    <xf numFmtId="1" fontId="12" fillId="2" borderId="11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6" fillId="0" borderId="0" xfId="0" applyFont="1" applyAlignment="1"/>
    <xf numFmtId="0" fontId="6" fillId="0" borderId="0" xfId="0" applyFont="1">
      <alignment vertical="center"/>
    </xf>
    <xf numFmtId="0" fontId="6" fillId="0" borderId="0" xfId="0" applyFont="1" applyBorder="1" applyAlignment="1"/>
    <xf numFmtId="0" fontId="0" fillId="0" borderId="0" xfId="0" applyBorder="1" applyAlignment="1"/>
    <xf numFmtId="0" fontId="0" fillId="0" borderId="4" xfId="0" applyBorder="1" applyAlignment="1"/>
    <xf numFmtId="0" fontId="6" fillId="0" borderId="4" xfId="0" applyFont="1" applyBorder="1" applyAlignment="1"/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left" vertical="center" indent="1"/>
    </xf>
    <xf numFmtId="0" fontId="12" fillId="0" borderId="10" xfId="0" applyFont="1" applyBorder="1" applyAlignment="1">
      <alignment horizontal="left" vertical="center" indent="1"/>
    </xf>
    <xf numFmtId="0" fontId="12" fillId="0" borderId="11" xfId="0" applyFont="1" applyBorder="1" applyAlignment="1">
      <alignment horizontal="left" vertical="center" indent="1"/>
    </xf>
    <xf numFmtId="0" fontId="12" fillId="0" borderId="10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AE85"/>
  <sheetViews>
    <sheetView showGridLines="0" tabSelected="1" topLeftCell="A34" workbookViewId="0">
      <selection activeCell="A43" sqref="A43:K51"/>
    </sheetView>
  </sheetViews>
  <sheetFormatPr baseColWidth="10" defaultRowHeight="12.75" x14ac:dyDescent="0.2"/>
  <cols>
    <col min="1" max="1" width="18.5703125" style="7" customWidth="1"/>
    <col min="2" max="2" width="9.140625" customWidth="1"/>
    <col min="3" max="9" width="6.140625" customWidth="1"/>
    <col min="10" max="11" width="8.140625" customWidth="1"/>
    <col min="13" max="13" width="20.28515625" bestFit="1" customWidth="1"/>
    <col min="14" max="14" width="8.5703125" customWidth="1"/>
    <col min="15" max="15" width="11.140625" customWidth="1"/>
    <col min="17" max="17" width="20" style="7" bestFit="1" customWidth="1"/>
    <col min="18" max="18" width="9.140625" customWidth="1"/>
    <col min="19" max="23" width="8.5703125" customWidth="1"/>
    <col min="24" max="24" width="8.5703125" style="2" customWidth="1"/>
  </cols>
  <sheetData>
    <row r="1" spans="1:24" x14ac:dyDescent="0.2">
      <c r="A1" s="7" t="s">
        <v>18</v>
      </c>
    </row>
    <row r="2" spans="1:24" s="71" customFormat="1" ht="35.25" customHeight="1" x14ac:dyDescent="0.2">
      <c r="A2" s="110" t="s">
        <v>0</v>
      </c>
      <c r="B2" s="112" t="s">
        <v>1</v>
      </c>
      <c r="C2" s="103" t="s">
        <v>2</v>
      </c>
      <c r="D2" s="104"/>
      <c r="E2" s="104"/>
      <c r="F2" s="103" t="s">
        <v>3</v>
      </c>
      <c r="G2" s="104"/>
      <c r="H2" s="104"/>
      <c r="I2" s="105"/>
      <c r="J2" s="103" t="s">
        <v>4</v>
      </c>
      <c r="K2" s="105"/>
      <c r="M2" s="108" t="s">
        <v>0</v>
      </c>
      <c r="N2" s="103" t="s">
        <v>5</v>
      </c>
      <c r="O2" s="105"/>
      <c r="Q2" s="110" t="s">
        <v>0</v>
      </c>
      <c r="R2" s="112" t="s">
        <v>1</v>
      </c>
      <c r="S2" s="103" t="s">
        <v>6</v>
      </c>
      <c r="T2" s="104"/>
      <c r="U2" s="104"/>
      <c r="V2" s="105"/>
      <c r="W2" s="72"/>
      <c r="X2" s="73"/>
    </row>
    <row r="3" spans="1:24" s="76" customFormat="1" ht="12" x14ac:dyDescent="0.2">
      <c r="A3" s="111"/>
      <c r="B3" s="113"/>
      <c r="C3" s="74" t="s">
        <v>7</v>
      </c>
      <c r="D3" s="75" t="s">
        <v>8</v>
      </c>
      <c r="E3" s="75" t="s">
        <v>9</v>
      </c>
      <c r="F3" s="74" t="s">
        <v>10</v>
      </c>
      <c r="G3" s="75" t="s">
        <v>11</v>
      </c>
      <c r="H3" s="75" t="s">
        <v>12</v>
      </c>
      <c r="I3" s="75" t="s">
        <v>13</v>
      </c>
      <c r="J3" s="74" t="s">
        <v>14</v>
      </c>
      <c r="K3" s="74" t="s">
        <v>15</v>
      </c>
      <c r="M3" s="109"/>
      <c r="N3" s="74" t="s">
        <v>14</v>
      </c>
      <c r="O3" s="74" t="s">
        <v>15</v>
      </c>
      <c r="Q3" s="111"/>
      <c r="R3" s="113"/>
      <c r="S3" s="75" t="str">
        <f>F3</f>
        <v>FDP</v>
      </c>
      <c r="T3" s="75" t="str">
        <f>G3</f>
        <v>SP/GB</v>
      </c>
      <c r="U3" s="75" t="str">
        <f>H3</f>
        <v>SVP</v>
      </c>
      <c r="V3" s="75" t="str">
        <f>I3</f>
        <v>FL</v>
      </c>
      <c r="W3" s="75" t="s">
        <v>9</v>
      </c>
      <c r="X3" s="77" t="s">
        <v>16</v>
      </c>
    </row>
    <row r="4" spans="1:24" s="71" customFormat="1" ht="12" x14ac:dyDescent="0.2">
      <c r="A4" s="78"/>
      <c r="B4" s="79"/>
      <c r="C4" s="80"/>
      <c r="D4" s="80"/>
      <c r="E4" s="54"/>
      <c r="F4" s="53"/>
      <c r="G4" s="55"/>
      <c r="H4" s="55"/>
      <c r="I4" s="55"/>
      <c r="J4" s="53"/>
      <c r="K4" s="53"/>
      <c r="M4" s="81"/>
      <c r="N4" s="53"/>
      <c r="O4" s="53"/>
      <c r="Q4" s="78"/>
      <c r="R4" s="79"/>
      <c r="S4" s="80"/>
      <c r="T4" s="54"/>
      <c r="U4" s="80"/>
      <c r="V4" s="55"/>
      <c r="W4" s="55"/>
      <c r="X4" s="57"/>
    </row>
    <row r="5" spans="1:24" s="71" customFormat="1" ht="12" x14ac:dyDescent="0.2">
      <c r="A5" s="26" t="s">
        <v>35</v>
      </c>
      <c r="B5" s="27">
        <f>E5+J5</f>
        <v>975</v>
      </c>
      <c r="C5" s="28">
        <v>336</v>
      </c>
      <c r="D5" s="29">
        <v>278</v>
      </c>
      <c r="E5" s="30">
        <f>SUM(C5:D5)</f>
        <v>614</v>
      </c>
      <c r="F5" s="28">
        <v>40</v>
      </c>
      <c r="G5" s="31">
        <v>53</v>
      </c>
      <c r="H5" s="32">
        <v>65</v>
      </c>
      <c r="I5" s="32">
        <v>203</v>
      </c>
      <c r="J5" s="28">
        <f>SUM(F5:I5)</f>
        <v>361</v>
      </c>
      <c r="K5" s="33">
        <f>J5/B5</f>
        <v>0.37025641025641026</v>
      </c>
      <c r="M5" s="34" t="str">
        <f>A5</f>
        <v>Gisler Claudia</v>
      </c>
      <c r="N5" s="28">
        <f>W5</f>
        <v>186</v>
      </c>
      <c r="O5" s="33">
        <f>N5/B5</f>
        <v>0.19076923076923077</v>
      </c>
      <c r="P5" s="82"/>
      <c r="Q5" s="67" t="str">
        <f t="shared" ref="Q5:R9" si="0">A5</f>
        <v>Gisler Claudia</v>
      </c>
      <c r="R5" s="68">
        <f t="shared" si="0"/>
        <v>975</v>
      </c>
      <c r="S5" s="29">
        <v>26</v>
      </c>
      <c r="T5" s="35">
        <v>36</v>
      </c>
      <c r="U5" s="28">
        <v>32</v>
      </c>
      <c r="V5" s="32">
        <v>92</v>
      </c>
      <c r="W5" s="31">
        <f>SUM(S5:V5)</f>
        <v>186</v>
      </c>
      <c r="X5" s="36">
        <f>W5/R5*100</f>
        <v>19.076923076923077</v>
      </c>
    </row>
    <row r="6" spans="1:24" s="83" customFormat="1" ht="12" x14ac:dyDescent="0.2">
      <c r="A6" s="37" t="s">
        <v>34</v>
      </c>
      <c r="B6" s="38">
        <f>E6+J6</f>
        <v>838</v>
      </c>
      <c r="C6" s="39">
        <v>336</v>
      </c>
      <c r="D6" s="40">
        <v>226</v>
      </c>
      <c r="E6" s="41">
        <f>SUM(C6:D6)</f>
        <v>562</v>
      </c>
      <c r="F6" s="39">
        <v>14</v>
      </c>
      <c r="G6" s="42">
        <v>33</v>
      </c>
      <c r="H6" s="43">
        <v>45</v>
      </c>
      <c r="I6" s="43">
        <v>184</v>
      </c>
      <c r="J6" s="39">
        <f>SUM(F6:I6)</f>
        <v>276</v>
      </c>
      <c r="K6" s="44">
        <f>J6/B6</f>
        <v>0.32935560859188545</v>
      </c>
      <c r="M6" s="46" t="str">
        <f>A6</f>
        <v>Arnold Bernadette</v>
      </c>
      <c r="N6" s="39">
        <f>W6</f>
        <v>104</v>
      </c>
      <c r="O6" s="44">
        <f>N6/B6</f>
        <v>0.12410501193317422</v>
      </c>
      <c r="P6" s="84"/>
      <c r="Q6" s="69" t="str">
        <f t="shared" si="0"/>
        <v>Arnold Bernadette</v>
      </c>
      <c r="R6" s="70">
        <f t="shared" si="0"/>
        <v>838</v>
      </c>
      <c r="S6" s="40">
        <v>4</v>
      </c>
      <c r="T6" s="47">
        <v>16</v>
      </c>
      <c r="U6" s="39">
        <v>6</v>
      </c>
      <c r="V6" s="43">
        <v>78</v>
      </c>
      <c r="W6" s="42">
        <f>SUM(S6:V6)</f>
        <v>104</v>
      </c>
      <c r="X6" s="48">
        <f>W6/R6*100</f>
        <v>12.410501193317423</v>
      </c>
    </row>
    <row r="7" spans="1:24" s="71" customFormat="1" ht="12" x14ac:dyDescent="0.2">
      <c r="A7" s="26" t="s">
        <v>20</v>
      </c>
      <c r="B7" s="27">
        <f>E7+J7</f>
        <v>328</v>
      </c>
      <c r="C7" s="28">
        <v>168</v>
      </c>
      <c r="D7" s="29">
        <v>82</v>
      </c>
      <c r="E7" s="30">
        <f>SUM(C7:D7)</f>
        <v>250</v>
      </c>
      <c r="F7" s="28">
        <v>7</v>
      </c>
      <c r="G7" s="31">
        <v>7</v>
      </c>
      <c r="H7" s="32">
        <v>11</v>
      </c>
      <c r="I7" s="32">
        <v>53</v>
      </c>
      <c r="J7" s="28">
        <f>SUM(F7:I7)</f>
        <v>78</v>
      </c>
      <c r="K7" s="33">
        <f>J7/B7</f>
        <v>0.23780487804878048</v>
      </c>
      <c r="M7" s="34" t="str">
        <f>A7</f>
        <v xml:space="preserve">Gisler Tobias </v>
      </c>
      <c r="N7" s="28">
        <f>W7</f>
        <v>24</v>
      </c>
      <c r="O7" s="33">
        <f>N7/B7</f>
        <v>7.3170731707317069E-2</v>
      </c>
      <c r="P7" s="82"/>
      <c r="Q7" s="67" t="str">
        <f t="shared" si="0"/>
        <v xml:space="preserve">Gisler Tobias </v>
      </c>
      <c r="R7" s="68">
        <f t="shared" si="0"/>
        <v>328</v>
      </c>
      <c r="S7" s="29">
        <v>2</v>
      </c>
      <c r="T7" s="35">
        <v>2</v>
      </c>
      <c r="U7" s="28">
        <v>6</v>
      </c>
      <c r="V7" s="32">
        <v>14</v>
      </c>
      <c r="W7" s="31">
        <f>SUM(S7:V7)</f>
        <v>24</v>
      </c>
      <c r="X7" s="36">
        <f>W7/R7*100</f>
        <v>7.3170731707317067</v>
      </c>
    </row>
    <row r="8" spans="1:24" s="71" customFormat="1" ht="12" x14ac:dyDescent="0.2">
      <c r="A8" s="26" t="s">
        <v>19</v>
      </c>
      <c r="B8" s="27">
        <f>E8+J8</f>
        <v>325</v>
      </c>
      <c r="C8" s="28">
        <v>168</v>
      </c>
      <c r="D8" s="29">
        <v>84</v>
      </c>
      <c r="E8" s="30">
        <f>SUM(C8:D8)</f>
        <v>252</v>
      </c>
      <c r="F8" s="28">
        <v>7</v>
      </c>
      <c r="G8" s="31">
        <v>3</v>
      </c>
      <c r="H8" s="32">
        <v>11</v>
      </c>
      <c r="I8" s="32">
        <v>52</v>
      </c>
      <c r="J8" s="28">
        <f>SUM(F8:I8)</f>
        <v>73</v>
      </c>
      <c r="K8" s="33">
        <f>J8/B8</f>
        <v>0.22461538461538461</v>
      </c>
      <c r="M8" s="34" t="str">
        <f>A8</f>
        <v xml:space="preserve">Gisler Thomas </v>
      </c>
      <c r="N8" s="28">
        <f>W8</f>
        <v>22</v>
      </c>
      <c r="O8" s="33">
        <f>N8/B8</f>
        <v>6.7692307692307691E-2</v>
      </c>
      <c r="P8" s="82"/>
      <c r="Q8" s="67" t="str">
        <f t="shared" si="0"/>
        <v xml:space="preserve">Gisler Thomas </v>
      </c>
      <c r="R8" s="68">
        <f t="shared" si="0"/>
        <v>325</v>
      </c>
      <c r="S8" s="29">
        <v>4</v>
      </c>
      <c r="T8" s="35">
        <v>2</v>
      </c>
      <c r="U8" s="28">
        <v>0</v>
      </c>
      <c r="V8" s="32">
        <v>16</v>
      </c>
      <c r="W8" s="31">
        <f>SUM(S8:V8)</f>
        <v>22</v>
      </c>
      <c r="X8" s="36">
        <f>W8/R8*100</f>
        <v>6.7692307692307692</v>
      </c>
    </row>
    <row r="9" spans="1:24" s="85" customFormat="1" ht="12" x14ac:dyDescent="0.2">
      <c r="A9" s="26" t="s">
        <v>36</v>
      </c>
      <c r="B9" s="27">
        <f>E9+J9</f>
        <v>274</v>
      </c>
      <c r="C9" s="28">
        <v>168</v>
      </c>
      <c r="D9" s="29">
        <v>60</v>
      </c>
      <c r="E9" s="30">
        <f>SUM(C9:D9)</f>
        <v>228</v>
      </c>
      <c r="F9" s="28">
        <v>3</v>
      </c>
      <c r="G9" s="31">
        <v>6</v>
      </c>
      <c r="H9" s="32">
        <v>9</v>
      </c>
      <c r="I9" s="32">
        <v>28</v>
      </c>
      <c r="J9" s="28">
        <f>SUM(F9:I9)</f>
        <v>46</v>
      </c>
      <c r="K9" s="33">
        <f>J9/B9</f>
        <v>0.16788321167883211</v>
      </c>
      <c r="M9" s="34" t="str">
        <f>A9</f>
        <v xml:space="preserve">Gisler Karin </v>
      </c>
      <c r="N9" s="28">
        <f>W9</f>
        <v>12</v>
      </c>
      <c r="O9" s="33">
        <f>N9/B9</f>
        <v>4.3795620437956206E-2</v>
      </c>
      <c r="P9" s="86"/>
      <c r="Q9" s="67" t="str">
        <f t="shared" si="0"/>
        <v xml:space="preserve">Gisler Karin </v>
      </c>
      <c r="R9" s="68">
        <f t="shared" si="0"/>
        <v>274</v>
      </c>
      <c r="S9" s="29">
        <v>2</v>
      </c>
      <c r="T9" s="35">
        <v>4</v>
      </c>
      <c r="U9" s="28">
        <v>4</v>
      </c>
      <c r="V9" s="32">
        <v>2</v>
      </c>
      <c r="W9" s="31">
        <f>SUM(S9:V9)</f>
        <v>12</v>
      </c>
      <c r="X9" s="36">
        <f>W9/R9*100</f>
        <v>4.3795620437956204</v>
      </c>
    </row>
    <row r="10" spans="1:24" s="71" customFormat="1" ht="12" x14ac:dyDescent="0.2">
      <c r="A10" s="51"/>
      <c r="B10" s="52"/>
      <c r="C10" s="53"/>
      <c r="D10" s="53"/>
      <c r="E10" s="54"/>
      <c r="F10" s="53"/>
      <c r="G10" s="55"/>
      <c r="H10" s="55"/>
      <c r="I10" s="55"/>
      <c r="J10" s="53"/>
      <c r="K10" s="53"/>
      <c r="M10" s="56"/>
      <c r="N10" s="53"/>
      <c r="O10" s="53"/>
      <c r="Q10" s="51"/>
      <c r="R10" s="52"/>
      <c r="S10" s="53"/>
      <c r="T10" s="54"/>
      <c r="U10" s="53"/>
      <c r="V10" s="55"/>
      <c r="W10" s="55"/>
      <c r="X10" s="57"/>
    </row>
    <row r="11" spans="1:24" s="71" customFormat="1" ht="12" x14ac:dyDescent="0.2">
      <c r="A11" s="58" t="s">
        <v>9</v>
      </c>
      <c r="B11" s="59">
        <f>SUM(B5:B9)</f>
        <v>2740</v>
      </c>
      <c r="C11" s="60">
        <f t="shared" ref="C11:J11" si="1">SUM(C5:C10)</f>
        <v>1176</v>
      </c>
      <c r="D11" s="60">
        <f t="shared" si="1"/>
        <v>730</v>
      </c>
      <c r="E11" s="60">
        <f t="shared" si="1"/>
        <v>1906</v>
      </c>
      <c r="F11" s="60">
        <f t="shared" si="1"/>
        <v>71</v>
      </c>
      <c r="G11" s="60">
        <f t="shared" si="1"/>
        <v>102</v>
      </c>
      <c r="H11" s="60">
        <f t="shared" si="1"/>
        <v>141</v>
      </c>
      <c r="I11" s="60">
        <f t="shared" si="1"/>
        <v>520</v>
      </c>
      <c r="J11" s="60">
        <f t="shared" si="1"/>
        <v>834</v>
      </c>
      <c r="K11" s="61">
        <f>J11/(B11)</f>
        <v>0.30437956204379563</v>
      </c>
      <c r="M11" s="62" t="s">
        <v>9</v>
      </c>
      <c r="N11" s="60">
        <f>SUM(N5:N10)</f>
        <v>348</v>
      </c>
      <c r="O11" s="61">
        <f>N11/B11</f>
        <v>0.12700729927007298</v>
      </c>
      <c r="Q11" s="58" t="s">
        <v>9</v>
      </c>
      <c r="R11" s="59">
        <f>SUM(R5:R9)</f>
        <v>2740</v>
      </c>
      <c r="S11" s="60">
        <f>SUM(S5:S10)</f>
        <v>38</v>
      </c>
      <c r="T11" s="60">
        <f>SUM(T5:T10)</f>
        <v>60</v>
      </c>
      <c r="U11" s="60">
        <f>SUM(U5:U10)</f>
        <v>48</v>
      </c>
      <c r="V11" s="60">
        <f>SUM(V5:V10)</f>
        <v>202</v>
      </c>
      <c r="W11" s="60">
        <f>SUM(W5:W10)</f>
        <v>348</v>
      </c>
      <c r="X11" s="64">
        <f>W11/R11*100</f>
        <v>12.700729927007298</v>
      </c>
    </row>
    <row r="13" spans="1:24" x14ac:dyDescent="0.2">
      <c r="F13" s="5" t="s">
        <v>17</v>
      </c>
      <c r="G13" s="10"/>
      <c r="H13" s="1"/>
      <c r="I13" s="6"/>
    </row>
    <row r="15" spans="1:24" x14ac:dyDescent="0.2">
      <c r="A15" s="7" t="s">
        <v>10</v>
      </c>
    </row>
    <row r="16" spans="1:24" ht="35.25" customHeight="1" x14ac:dyDescent="0.2">
      <c r="A16" s="96" t="s">
        <v>0</v>
      </c>
      <c r="B16" s="98" t="s">
        <v>1</v>
      </c>
      <c r="C16" s="100" t="s">
        <v>2</v>
      </c>
      <c r="D16" s="101"/>
      <c r="E16" s="101"/>
      <c r="F16" s="100" t="s">
        <v>3</v>
      </c>
      <c r="G16" s="101"/>
      <c r="H16" s="101"/>
      <c r="I16" s="102"/>
      <c r="J16" s="100" t="s">
        <v>4</v>
      </c>
      <c r="K16" s="102"/>
      <c r="L16" s="11"/>
      <c r="M16" s="106" t="s">
        <v>0</v>
      </c>
      <c r="N16" s="103" t="s">
        <v>5</v>
      </c>
      <c r="O16" s="105"/>
      <c r="P16" s="11"/>
      <c r="Q16" s="96" t="s">
        <v>0</v>
      </c>
      <c r="R16" s="98" t="s">
        <v>1</v>
      </c>
      <c r="S16" s="103" t="s">
        <v>6</v>
      </c>
      <c r="T16" s="104"/>
      <c r="U16" s="104"/>
      <c r="V16" s="105"/>
      <c r="W16" s="12"/>
      <c r="X16" s="13"/>
    </row>
    <row r="17" spans="1:30" s="3" customFormat="1" x14ac:dyDescent="0.2">
      <c r="A17" s="97"/>
      <c r="B17" s="99"/>
      <c r="C17" s="14" t="s">
        <v>7</v>
      </c>
      <c r="D17" s="15" t="s">
        <v>8</v>
      </c>
      <c r="E17" s="15" t="s">
        <v>9</v>
      </c>
      <c r="F17" s="14" t="s">
        <v>18</v>
      </c>
      <c r="G17" s="15" t="s">
        <v>11</v>
      </c>
      <c r="H17" s="15" t="s">
        <v>12</v>
      </c>
      <c r="I17" s="15" t="s">
        <v>13</v>
      </c>
      <c r="J17" s="14" t="s">
        <v>14</v>
      </c>
      <c r="K17" s="14" t="s">
        <v>15</v>
      </c>
      <c r="L17" s="16"/>
      <c r="M17" s="107"/>
      <c r="N17" s="14" t="s">
        <v>14</v>
      </c>
      <c r="O17" s="14" t="s">
        <v>15</v>
      </c>
      <c r="P17" s="16"/>
      <c r="Q17" s="97"/>
      <c r="R17" s="99"/>
      <c r="S17" s="15" t="str">
        <f>F17</f>
        <v>CVP</v>
      </c>
      <c r="T17" s="15" t="str">
        <f>G17</f>
        <v>SP/GB</v>
      </c>
      <c r="U17" s="15" t="str">
        <f>H17</f>
        <v>SVP</v>
      </c>
      <c r="V17" s="15" t="str">
        <f>I17</f>
        <v>FL</v>
      </c>
      <c r="W17" s="15" t="s">
        <v>9</v>
      </c>
      <c r="X17" s="17" t="s">
        <v>16</v>
      </c>
    </row>
    <row r="18" spans="1:30" x14ac:dyDescent="0.2">
      <c r="A18" s="18"/>
      <c r="B18" s="19"/>
      <c r="C18" s="20"/>
      <c r="D18" s="20"/>
      <c r="E18" s="21"/>
      <c r="F18" s="22"/>
      <c r="G18" s="23"/>
      <c r="H18" s="23"/>
      <c r="I18" s="23"/>
      <c r="J18" s="22"/>
      <c r="K18" s="22"/>
      <c r="L18" s="11"/>
      <c r="M18" s="24"/>
      <c r="N18" s="22"/>
      <c r="O18" s="22"/>
      <c r="P18" s="11"/>
      <c r="Q18" s="18"/>
      <c r="R18" s="19"/>
      <c r="S18" s="20"/>
      <c r="T18" s="21"/>
      <c r="U18" s="20"/>
      <c r="V18" s="23"/>
      <c r="W18" s="23"/>
      <c r="X18" s="25"/>
    </row>
    <row r="19" spans="1:30" s="9" customFormat="1" ht="12.75" customHeight="1" x14ac:dyDescent="0.2">
      <c r="A19" s="37" t="s">
        <v>25</v>
      </c>
      <c r="B19" s="38">
        <f>E19+J19</f>
        <v>523</v>
      </c>
      <c r="C19" s="39">
        <v>212</v>
      </c>
      <c r="D19" s="40">
        <v>76</v>
      </c>
      <c r="E19" s="41">
        <f>SUM(C19:D19)</f>
        <v>288</v>
      </c>
      <c r="F19" s="39">
        <v>65</v>
      </c>
      <c r="G19" s="42">
        <v>39</v>
      </c>
      <c r="H19" s="39">
        <v>20</v>
      </c>
      <c r="I19" s="43">
        <v>111</v>
      </c>
      <c r="J19" s="39">
        <f>SUM(F19:I19)</f>
        <v>235</v>
      </c>
      <c r="K19" s="44">
        <f>J19/B19</f>
        <v>0.44933078393881454</v>
      </c>
      <c r="L19" s="45"/>
      <c r="M19" s="46" t="str">
        <f>A19</f>
        <v xml:space="preserve">Christen-Zarri Miriam </v>
      </c>
      <c r="N19" s="39">
        <f>W19</f>
        <v>102</v>
      </c>
      <c r="O19" s="44">
        <f>N19/B19</f>
        <v>0.19502868068833651</v>
      </c>
      <c r="P19" s="45"/>
      <c r="Q19" s="37" t="str">
        <f t="shared" ref="Q19:R23" si="2">A19</f>
        <v xml:space="preserve">Christen-Zarri Miriam </v>
      </c>
      <c r="R19" s="38">
        <f t="shared" si="2"/>
        <v>523</v>
      </c>
      <c r="S19" s="40">
        <v>24</v>
      </c>
      <c r="T19" s="47">
        <v>24</v>
      </c>
      <c r="U19" s="39">
        <v>4</v>
      </c>
      <c r="V19" s="43">
        <v>50</v>
      </c>
      <c r="W19" s="42">
        <f>SUM(S19:V19)</f>
        <v>102</v>
      </c>
      <c r="X19" s="48">
        <f>W19/R19*100</f>
        <v>19.502868068833649</v>
      </c>
      <c r="Z19" s="8"/>
      <c r="AA19" s="95"/>
      <c r="AB19" s="94"/>
      <c r="AC19" s="94"/>
      <c r="AD19" s="94"/>
    </row>
    <row r="20" spans="1:30" ht="12.75" customHeight="1" x14ac:dyDescent="0.2">
      <c r="A20" s="26" t="s">
        <v>26</v>
      </c>
      <c r="B20" s="27">
        <f>E20+J20</f>
        <v>454</v>
      </c>
      <c r="C20" s="28">
        <v>212</v>
      </c>
      <c r="D20" s="29">
        <v>86</v>
      </c>
      <c r="E20" s="30">
        <f>SUM(C20:D20)</f>
        <v>298</v>
      </c>
      <c r="F20" s="28">
        <v>52</v>
      </c>
      <c r="G20" s="31">
        <v>11</v>
      </c>
      <c r="H20" s="28">
        <v>21</v>
      </c>
      <c r="I20" s="32">
        <v>72</v>
      </c>
      <c r="J20" s="28">
        <f>SUM(F20:I20)</f>
        <v>156</v>
      </c>
      <c r="K20" s="33">
        <f>J20/B20</f>
        <v>0.34361233480176212</v>
      </c>
      <c r="L20" s="50"/>
      <c r="M20" s="34" t="str">
        <f>A20</f>
        <v xml:space="preserve">Epp Patrik </v>
      </c>
      <c r="N20" s="28">
        <f>W20</f>
        <v>48</v>
      </c>
      <c r="O20" s="33">
        <f>N20/B20</f>
        <v>0.10572687224669604</v>
      </c>
      <c r="P20" s="50"/>
      <c r="Q20" s="26" t="str">
        <f t="shared" si="2"/>
        <v xml:space="preserve">Epp Patrik </v>
      </c>
      <c r="R20" s="27">
        <f t="shared" si="2"/>
        <v>454</v>
      </c>
      <c r="S20" s="29">
        <v>22</v>
      </c>
      <c r="T20" s="35">
        <v>6</v>
      </c>
      <c r="U20" s="28">
        <v>8</v>
      </c>
      <c r="V20" s="32">
        <v>12</v>
      </c>
      <c r="W20" s="31">
        <f>SUM(S20:V20)</f>
        <v>48</v>
      </c>
      <c r="X20" s="36">
        <f>W20/R20*100</f>
        <v>10.572687224669604</v>
      </c>
      <c r="Z20" s="4"/>
      <c r="AA20" s="90"/>
      <c r="AB20" s="65"/>
      <c r="AC20" s="65"/>
      <c r="AD20" s="65"/>
    </row>
    <row r="21" spans="1:30" s="1" customFormat="1" x14ac:dyDescent="0.2">
      <c r="A21" s="26" t="s">
        <v>27</v>
      </c>
      <c r="B21" s="27">
        <f>E21+J21</f>
        <v>210</v>
      </c>
      <c r="C21" s="28">
        <v>106</v>
      </c>
      <c r="D21" s="29">
        <v>33</v>
      </c>
      <c r="E21" s="30">
        <f>SUM(C21:D21)</f>
        <v>139</v>
      </c>
      <c r="F21" s="28">
        <v>17</v>
      </c>
      <c r="G21" s="31">
        <v>7</v>
      </c>
      <c r="H21" s="28">
        <v>12</v>
      </c>
      <c r="I21" s="32">
        <v>35</v>
      </c>
      <c r="J21" s="28">
        <f>SUM(F21:I21)</f>
        <v>71</v>
      </c>
      <c r="K21" s="33">
        <f>J21/B21</f>
        <v>0.33809523809523812</v>
      </c>
      <c r="L21" s="50"/>
      <c r="M21" s="34" t="str">
        <f>A21</f>
        <v xml:space="preserve">Ziegler Zacharias </v>
      </c>
      <c r="N21" s="28">
        <f>W21</f>
        <v>32</v>
      </c>
      <c r="O21" s="33">
        <f>N21/B21</f>
        <v>0.15238095238095239</v>
      </c>
      <c r="P21" s="50"/>
      <c r="Q21" s="26" t="str">
        <f t="shared" si="2"/>
        <v xml:space="preserve">Ziegler Zacharias </v>
      </c>
      <c r="R21" s="27">
        <f t="shared" si="2"/>
        <v>210</v>
      </c>
      <c r="S21" s="29">
        <v>8</v>
      </c>
      <c r="T21" s="35">
        <v>0</v>
      </c>
      <c r="U21" s="28">
        <v>8</v>
      </c>
      <c r="V21" s="32">
        <v>16</v>
      </c>
      <c r="W21" s="31">
        <f>SUM(S21:V21)</f>
        <v>32</v>
      </c>
      <c r="X21" s="36">
        <f>W21/R21*100</f>
        <v>15.238095238095239</v>
      </c>
      <c r="Z21" s="4"/>
      <c r="AA21" s="92"/>
      <c r="AB21" s="93"/>
      <c r="AC21" s="93"/>
      <c r="AD21" s="93"/>
    </row>
    <row r="22" spans="1:30" x14ac:dyDescent="0.2">
      <c r="A22" s="26" t="s">
        <v>28</v>
      </c>
      <c r="B22" s="27">
        <f>E22+J22</f>
        <v>187</v>
      </c>
      <c r="C22" s="28">
        <v>106</v>
      </c>
      <c r="D22" s="29">
        <v>29</v>
      </c>
      <c r="E22" s="30">
        <f>SUM(C22:D22)</f>
        <v>135</v>
      </c>
      <c r="F22" s="28">
        <v>4</v>
      </c>
      <c r="G22" s="31">
        <v>3</v>
      </c>
      <c r="H22" s="28">
        <v>17</v>
      </c>
      <c r="I22" s="32">
        <v>28</v>
      </c>
      <c r="J22" s="28">
        <f>SUM(F22:I22)</f>
        <v>52</v>
      </c>
      <c r="K22" s="33">
        <f>J22/B22</f>
        <v>0.27807486631016043</v>
      </c>
      <c r="L22" s="11"/>
      <c r="M22" s="34" t="str">
        <f>A22</f>
        <v xml:space="preserve">Wipfli Nicola </v>
      </c>
      <c r="N22" s="28">
        <f>W22</f>
        <v>32</v>
      </c>
      <c r="O22" s="33">
        <f>N22/B22</f>
        <v>0.17112299465240641</v>
      </c>
      <c r="P22" s="11"/>
      <c r="Q22" s="26" t="str">
        <f t="shared" si="2"/>
        <v xml:space="preserve">Wipfli Nicola </v>
      </c>
      <c r="R22" s="27">
        <f t="shared" si="2"/>
        <v>187</v>
      </c>
      <c r="S22" s="29">
        <v>0</v>
      </c>
      <c r="T22" s="35">
        <v>2</v>
      </c>
      <c r="U22" s="28">
        <v>16</v>
      </c>
      <c r="V22" s="32">
        <v>14</v>
      </c>
      <c r="W22" s="31">
        <f>SUM(S22:V22)</f>
        <v>32</v>
      </c>
      <c r="X22" s="36">
        <f>W22/R22*100</f>
        <v>17.112299465240639</v>
      </c>
      <c r="Z22" s="4"/>
      <c r="AA22" s="90"/>
      <c r="AB22" s="65"/>
      <c r="AC22" s="65"/>
      <c r="AD22" s="65"/>
    </row>
    <row r="23" spans="1:30" x14ac:dyDescent="0.2">
      <c r="A23" s="26" t="s">
        <v>29</v>
      </c>
      <c r="B23" s="27">
        <f>E23+J23</f>
        <v>145</v>
      </c>
      <c r="C23" s="28">
        <v>106</v>
      </c>
      <c r="D23" s="29">
        <v>22</v>
      </c>
      <c r="E23" s="30">
        <f>SUM(C23:D23)</f>
        <v>128</v>
      </c>
      <c r="F23" s="28">
        <v>2</v>
      </c>
      <c r="G23" s="31">
        <v>3</v>
      </c>
      <c r="H23" s="28">
        <v>1</v>
      </c>
      <c r="I23" s="32">
        <v>11</v>
      </c>
      <c r="J23" s="28">
        <f>SUM(F23:I23)</f>
        <v>17</v>
      </c>
      <c r="K23" s="33">
        <f>J23/B23</f>
        <v>0.11724137931034483</v>
      </c>
      <c r="L23" s="11"/>
      <c r="M23" s="34" t="str">
        <f>A23</f>
        <v xml:space="preserve">Seeholzer Christoph </v>
      </c>
      <c r="N23" s="28">
        <f>W23</f>
        <v>0</v>
      </c>
      <c r="O23" s="33">
        <f>N23/B23</f>
        <v>0</v>
      </c>
      <c r="P23" s="11"/>
      <c r="Q23" s="26" t="str">
        <f t="shared" si="2"/>
        <v xml:space="preserve">Seeholzer Christoph </v>
      </c>
      <c r="R23" s="27">
        <f t="shared" si="2"/>
        <v>145</v>
      </c>
      <c r="S23" s="29">
        <v>0</v>
      </c>
      <c r="T23" s="35">
        <v>0</v>
      </c>
      <c r="U23" s="28">
        <v>0</v>
      </c>
      <c r="V23" s="32">
        <v>0</v>
      </c>
      <c r="W23" s="31">
        <f>SUM(S23:V23)</f>
        <v>0</v>
      </c>
      <c r="X23" s="36">
        <f>W23/R23*100</f>
        <v>0</v>
      </c>
      <c r="Z23" s="4"/>
      <c r="AA23" s="90"/>
      <c r="AB23" s="65"/>
      <c r="AC23" s="65"/>
      <c r="AD23" s="65"/>
    </row>
    <row r="24" spans="1:30" x14ac:dyDescent="0.2">
      <c r="A24" s="89"/>
      <c r="B24" s="52"/>
      <c r="C24" s="53"/>
      <c r="D24" s="53"/>
      <c r="E24" s="54"/>
      <c r="F24" s="53"/>
      <c r="G24" s="55"/>
      <c r="H24" s="55"/>
      <c r="I24" s="55"/>
      <c r="J24" s="53"/>
      <c r="K24" s="53"/>
      <c r="L24" s="11"/>
      <c r="M24" s="56"/>
      <c r="N24" s="53"/>
      <c r="O24" s="53"/>
      <c r="P24" s="11"/>
      <c r="Q24" s="51"/>
      <c r="R24" s="52"/>
      <c r="S24" s="53"/>
      <c r="T24" s="54"/>
      <c r="U24" s="53"/>
      <c r="V24" s="55"/>
      <c r="W24" s="55"/>
      <c r="X24" s="57"/>
      <c r="AA24" s="91"/>
    </row>
    <row r="25" spans="1:30" x14ac:dyDescent="0.2">
      <c r="A25" s="87" t="s">
        <v>9</v>
      </c>
      <c r="B25" s="59">
        <f>SUM(B19:B23)</f>
        <v>1519</v>
      </c>
      <c r="C25" s="60">
        <f t="shared" ref="C25:J25" si="3">SUM(C19:C24)</f>
        <v>742</v>
      </c>
      <c r="D25" s="60">
        <f t="shared" si="3"/>
        <v>246</v>
      </c>
      <c r="E25" s="60">
        <f t="shared" si="3"/>
        <v>988</v>
      </c>
      <c r="F25" s="60">
        <f t="shared" si="3"/>
        <v>140</v>
      </c>
      <c r="G25" s="60">
        <f t="shared" si="3"/>
        <v>63</v>
      </c>
      <c r="H25" s="60">
        <f t="shared" si="3"/>
        <v>71</v>
      </c>
      <c r="I25" s="60">
        <f t="shared" si="3"/>
        <v>257</v>
      </c>
      <c r="J25" s="60">
        <f t="shared" si="3"/>
        <v>531</v>
      </c>
      <c r="K25" s="61">
        <f>J25/(B25)</f>
        <v>0.34957208689927582</v>
      </c>
      <c r="L25" s="11"/>
      <c r="M25" s="62" t="s">
        <v>9</v>
      </c>
      <c r="N25" s="60">
        <f>SUM(N19:N24)</f>
        <v>214</v>
      </c>
      <c r="O25" s="61">
        <f>N25/B25</f>
        <v>0.14088215931533904</v>
      </c>
      <c r="P25" s="11"/>
      <c r="Q25" s="58" t="s">
        <v>9</v>
      </c>
      <c r="R25" s="59">
        <f>SUM(R19:R23)</f>
        <v>1519</v>
      </c>
      <c r="S25" s="60">
        <f>SUM(S19:S24)</f>
        <v>54</v>
      </c>
      <c r="T25" s="60">
        <f>SUM(T19:T24)</f>
        <v>32</v>
      </c>
      <c r="U25" s="60">
        <f>SUM(U19:U24)</f>
        <v>36</v>
      </c>
      <c r="V25" s="60">
        <f>SUM(V19:V24)</f>
        <v>92</v>
      </c>
      <c r="W25" s="60">
        <f>SUM(W19:W24)</f>
        <v>214</v>
      </c>
      <c r="X25" s="64">
        <f>W25/R25*100</f>
        <v>14.088215931533904</v>
      </c>
    </row>
    <row r="27" spans="1:30" ht="13.5" customHeight="1" x14ac:dyDescent="0.2"/>
    <row r="29" spans="1:30" x14ac:dyDescent="0.2">
      <c r="A29" s="66" t="s">
        <v>11</v>
      </c>
    </row>
    <row r="30" spans="1:30" ht="28.5" customHeight="1" x14ac:dyDescent="0.2">
      <c r="A30" s="96" t="s">
        <v>0</v>
      </c>
      <c r="B30" s="98" t="s">
        <v>1</v>
      </c>
      <c r="C30" s="100" t="s">
        <v>2</v>
      </c>
      <c r="D30" s="101"/>
      <c r="E30" s="102"/>
      <c r="F30" s="100" t="s">
        <v>3</v>
      </c>
      <c r="G30" s="101"/>
      <c r="H30" s="101"/>
      <c r="I30" s="102"/>
      <c r="J30" s="100" t="s">
        <v>4</v>
      </c>
      <c r="K30" s="102"/>
      <c r="L30" s="11"/>
      <c r="M30" s="106" t="s">
        <v>0</v>
      </c>
      <c r="N30" s="103" t="s">
        <v>5</v>
      </c>
      <c r="O30" s="105"/>
      <c r="P30" s="11"/>
      <c r="Q30" s="96" t="s">
        <v>0</v>
      </c>
      <c r="R30" s="98" t="s">
        <v>1</v>
      </c>
      <c r="S30" s="103" t="s">
        <v>6</v>
      </c>
      <c r="T30" s="104"/>
      <c r="U30" s="104"/>
      <c r="V30" s="105"/>
      <c r="W30" s="12"/>
      <c r="X30" s="13"/>
    </row>
    <row r="31" spans="1:30" x14ac:dyDescent="0.2">
      <c r="A31" s="97"/>
      <c r="B31" s="99"/>
      <c r="C31" s="14" t="s">
        <v>7</v>
      </c>
      <c r="D31" s="15" t="s">
        <v>8</v>
      </c>
      <c r="E31" s="15" t="s">
        <v>9</v>
      </c>
      <c r="F31" s="14" t="s">
        <v>18</v>
      </c>
      <c r="G31" s="15" t="s">
        <v>10</v>
      </c>
      <c r="H31" s="15" t="s">
        <v>12</v>
      </c>
      <c r="I31" s="15" t="s">
        <v>13</v>
      </c>
      <c r="J31" s="14" t="s">
        <v>14</v>
      </c>
      <c r="K31" s="14" t="s">
        <v>15</v>
      </c>
      <c r="L31" s="16"/>
      <c r="M31" s="107"/>
      <c r="N31" s="14" t="s">
        <v>14</v>
      </c>
      <c r="O31" s="14" t="s">
        <v>15</v>
      </c>
      <c r="P31" s="16"/>
      <c r="Q31" s="97"/>
      <c r="R31" s="99"/>
      <c r="S31" s="15" t="str">
        <f>F31</f>
        <v>CVP</v>
      </c>
      <c r="T31" s="15" t="str">
        <f>G31</f>
        <v>FDP</v>
      </c>
      <c r="U31" s="15" t="str">
        <f>H31</f>
        <v>SVP</v>
      </c>
      <c r="V31" s="15" t="str">
        <f>I31</f>
        <v>FL</v>
      </c>
      <c r="W31" s="15" t="s">
        <v>9</v>
      </c>
      <c r="X31" s="17" t="s">
        <v>16</v>
      </c>
    </row>
    <row r="32" spans="1:30" x14ac:dyDescent="0.2">
      <c r="A32" s="18"/>
      <c r="B32" s="19"/>
      <c r="C32" s="20"/>
      <c r="D32" s="20"/>
      <c r="E32" s="21"/>
      <c r="F32" s="22"/>
      <c r="G32" s="23"/>
      <c r="H32" s="23"/>
      <c r="I32" s="23"/>
      <c r="J32" s="22"/>
      <c r="K32" s="22"/>
      <c r="L32" s="11"/>
      <c r="M32" s="24"/>
      <c r="N32" s="22"/>
      <c r="O32" s="22"/>
      <c r="P32" s="11"/>
      <c r="Q32" s="18"/>
      <c r="R32" s="19"/>
      <c r="S32" s="20"/>
      <c r="T32" s="21"/>
      <c r="U32" s="20"/>
      <c r="V32" s="23"/>
      <c r="W32" s="23"/>
      <c r="X32" s="25"/>
    </row>
    <row r="33" spans="1:31" s="9" customFormat="1" x14ac:dyDescent="0.2">
      <c r="A33" s="37" t="s">
        <v>21</v>
      </c>
      <c r="B33" s="38">
        <f>E33+J33</f>
        <v>551</v>
      </c>
      <c r="C33" s="39">
        <v>254</v>
      </c>
      <c r="D33" s="40">
        <v>140</v>
      </c>
      <c r="E33" s="41">
        <f>SUM(C33:D33)</f>
        <v>394</v>
      </c>
      <c r="F33" s="39">
        <v>68</v>
      </c>
      <c r="G33" s="42">
        <v>10</v>
      </c>
      <c r="H33" s="42">
        <v>5</v>
      </c>
      <c r="I33" s="43">
        <v>74</v>
      </c>
      <c r="J33" s="39">
        <f>SUM(F33:I33)</f>
        <v>157</v>
      </c>
      <c r="K33" s="44">
        <f>J33/B33</f>
        <v>0.28493647912885661</v>
      </c>
      <c r="L33" s="45"/>
      <c r="M33" s="46" t="str">
        <f>A33</f>
        <v>Joos-Widmer Jolanda</v>
      </c>
      <c r="N33" s="39">
        <f>W33</f>
        <v>64</v>
      </c>
      <c r="O33" s="44">
        <f>N33/B33</f>
        <v>0.1161524500907441</v>
      </c>
      <c r="P33" s="45"/>
      <c r="Q33" s="37" t="str">
        <f t="shared" ref="Q33:R36" si="4">A33</f>
        <v>Joos-Widmer Jolanda</v>
      </c>
      <c r="R33" s="38">
        <f t="shared" si="4"/>
        <v>551</v>
      </c>
      <c r="S33" s="40">
        <v>28</v>
      </c>
      <c r="T33" s="47">
        <v>6</v>
      </c>
      <c r="U33" s="39">
        <v>0</v>
      </c>
      <c r="V33" s="43">
        <v>30</v>
      </c>
      <c r="W33" s="42">
        <f>SUM(S33:V33)</f>
        <v>64</v>
      </c>
      <c r="X33" s="48">
        <f>W33/R33*100</f>
        <v>11.61524500907441</v>
      </c>
      <c r="AA33" s="95"/>
    </row>
    <row r="34" spans="1:31" x14ac:dyDescent="0.2">
      <c r="A34" s="26" t="s">
        <v>22</v>
      </c>
      <c r="B34" s="27">
        <f>E34+J34</f>
        <v>413</v>
      </c>
      <c r="C34" s="28">
        <v>254</v>
      </c>
      <c r="D34" s="29">
        <v>93</v>
      </c>
      <c r="E34" s="30">
        <f>SUM(C34:D34)</f>
        <v>347</v>
      </c>
      <c r="F34" s="28">
        <v>19</v>
      </c>
      <c r="G34" s="31">
        <v>7</v>
      </c>
      <c r="H34" s="31">
        <v>1</v>
      </c>
      <c r="I34" s="32">
        <v>39</v>
      </c>
      <c r="J34" s="28">
        <f>SUM(F34:I34)</f>
        <v>66</v>
      </c>
      <c r="K34" s="33">
        <f>J34/B34</f>
        <v>0.15980629539951574</v>
      </c>
      <c r="L34" s="50"/>
      <c r="M34" s="34" t="str">
        <f>A34</f>
        <v xml:space="preserve">Röthlin Reto </v>
      </c>
      <c r="N34" s="28">
        <f>W34</f>
        <v>24</v>
      </c>
      <c r="O34" s="33">
        <f>N34/B34</f>
        <v>5.8111380145278453E-2</v>
      </c>
      <c r="P34" s="50"/>
      <c r="Q34" s="26" t="str">
        <f t="shared" si="4"/>
        <v xml:space="preserve">Röthlin Reto </v>
      </c>
      <c r="R34" s="27">
        <f t="shared" si="4"/>
        <v>413</v>
      </c>
      <c r="S34" s="29">
        <v>6</v>
      </c>
      <c r="T34" s="35">
        <v>6</v>
      </c>
      <c r="U34" s="28">
        <v>0</v>
      </c>
      <c r="V34" s="32">
        <v>12</v>
      </c>
      <c r="W34" s="31">
        <f>SUM(S34:V34)</f>
        <v>24</v>
      </c>
      <c r="X34" s="36">
        <f>W34/R34*100</f>
        <v>5.8111380145278453</v>
      </c>
      <c r="AA34" s="90"/>
    </row>
    <row r="35" spans="1:31" x14ac:dyDescent="0.2">
      <c r="A35" s="26" t="s">
        <v>23</v>
      </c>
      <c r="B35" s="27">
        <f>E35+J35</f>
        <v>369</v>
      </c>
      <c r="C35" s="28">
        <v>254</v>
      </c>
      <c r="D35" s="29">
        <v>86</v>
      </c>
      <c r="E35" s="30">
        <f>SUM(C35:D35)</f>
        <v>340</v>
      </c>
      <c r="F35" s="28">
        <v>4</v>
      </c>
      <c r="G35" s="31">
        <v>6</v>
      </c>
      <c r="H35" s="31">
        <v>0</v>
      </c>
      <c r="I35" s="32">
        <v>19</v>
      </c>
      <c r="J35" s="28">
        <f>SUM(F35:I35)</f>
        <v>29</v>
      </c>
      <c r="K35" s="33">
        <f>J35/B35</f>
        <v>7.8590785907859076E-2</v>
      </c>
      <c r="L35" s="50"/>
      <c r="M35" s="34" t="str">
        <f>A35</f>
        <v xml:space="preserve">Ananthavettivelu Rag </v>
      </c>
      <c r="N35" s="28">
        <f>W35</f>
        <v>6</v>
      </c>
      <c r="O35" s="33">
        <f>N35/B35</f>
        <v>1.6260162601626018E-2</v>
      </c>
      <c r="P35" s="50"/>
      <c r="Q35" s="26" t="str">
        <f t="shared" si="4"/>
        <v xml:space="preserve">Ananthavettivelu Rag </v>
      </c>
      <c r="R35" s="27">
        <f t="shared" si="4"/>
        <v>369</v>
      </c>
      <c r="S35" s="29">
        <v>0</v>
      </c>
      <c r="T35" s="35">
        <v>2</v>
      </c>
      <c r="U35" s="28">
        <v>0</v>
      </c>
      <c r="V35" s="32">
        <v>4</v>
      </c>
      <c r="W35" s="31">
        <f>SUM(S35:V35)</f>
        <v>6</v>
      </c>
      <c r="X35" s="36">
        <f>W35/R35*100</f>
        <v>1.6260162601626018</v>
      </c>
      <c r="Y35" s="1"/>
      <c r="AA35" s="90"/>
    </row>
    <row r="36" spans="1:31" s="1" customFormat="1" x14ac:dyDescent="0.2">
      <c r="A36" s="26" t="s">
        <v>24</v>
      </c>
      <c r="B36" s="27">
        <f>E36+J36</f>
        <v>216</v>
      </c>
      <c r="C36" s="28">
        <v>127</v>
      </c>
      <c r="D36" s="29">
        <v>64</v>
      </c>
      <c r="E36" s="30">
        <f>SUM(C36:D36)</f>
        <v>191</v>
      </c>
      <c r="F36" s="28">
        <v>8</v>
      </c>
      <c r="G36" s="31">
        <v>2</v>
      </c>
      <c r="H36" s="31">
        <v>1</v>
      </c>
      <c r="I36" s="32">
        <v>14</v>
      </c>
      <c r="J36" s="28">
        <f>SUM(F36:I36)</f>
        <v>25</v>
      </c>
      <c r="K36" s="33">
        <f>J36/B36</f>
        <v>0.11574074074074074</v>
      </c>
      <c r="L36" s="49"/>
      <c r="M36" s="34" t="str">
        <f>A36</f>
        <v xml:space="preserve">Kluge Harriet </v>
      </c>
      <c r="N36" s="28">
        <f>W36</f>
        <v>6</v>
      </c>
      <c r="O36" s="33">
        <f>N36/B36</f>
        <v>2.7777777777777776E-2</v>
      </c>
      <c r="P36" s="50"/>
      <c r="Q36" s="26" t="str">
        <f t="shared" si="4"/>
        <v xml:space="preserve">Kluge Harriet </v>
      </c>
      <c r="R36" s="27">
        <f t="shared" si="4"/>
        <v>216</v>
      </c>
      <c r="S36" s="29">
        <v>0</v>
      </c>
      <c r="T36" s="35">
        <v>0</v>
      </c>
      <c r="U36" s="28">
        <v>0</v>
      </c>
      <c r="V36" s="32">
        <v>6</v>
      </c>
      <c r="W36" s="31">
        <f>SUM(S36:V36)</f>
        <v>6</v>
      </c>
      <c r="X36" s="36">
        <f>W36/R36*100</f>
        <v>2.7777777777777777</v>
      </c>
      <c r="AA36" s="92"/>
    </row>
    <row r="37" spans="1:31" x14ac:dyDescent="0.2">
      <c r="A37" s="51"/>
      <c r="B37" s="52"/>
      <c r="C37" s="53"/>
      <c r="D37" s="53"/>
      <c r="E37" s="54"/>
      <c r="F37" s="53"/>
      <c r="G37" s="55"/>
      <c r="H37" s="55"/>
      <c r="I37" s="55"/>
      <c r="J37" s="53"/>
      <c r="K37" s="53"/>
      <c r="L37" s="11"/>
      <c r="M37" s="56"/>
      <c r="N37" s="53"/>
      <c r="O37" s="53"/>
      <c r="P37" s="11"/>
      <c r="Q37" s="51"/>
      <c r="R37" s="52"/>
      <c r="S37" s="53"/>
      <c r="T37" s="54"/>
      <c r="U37" s="53"/>
      <c r="V37" s="55"/>
      <c r="W37" s="55"/>
      <c r="X37" s="57"/>
      <c r="AA37" s="65"/>
    </row>
    <row r="38" spans="1:31" x14ac:dyDescent="0.2">
      <c r="A38" s="58" t="s">
        <v>9</v>
      </c>
      <c r="B38" s="88">
        <f t="shared" ref="B38:J38" si="5">SUM(B33:B36)</f>
        <v>1549</v>
      </c>
      <c r="C38" s="88">
        <f t="shared" si="5"/>
        <v>889</v>
      </c>
      <c r="D38" s="88">
        <f t="shared" si="5"/>
        <v>383</v>
      </c>
      <c r="E38" s="88">
        <f t="shared" si="5"/>
        <v>1272</v>
      </c>
      <c r="F38" s="88">
        <f t="shared" si="5"/>
        <v>99</v>
      </c>
      <c r="G38" s="88">
        <f t="shared" si="5"/>
        <v>25</v>
      </c>
      <c r="H38" s="88">
        <f t="shared" si="5"/>
        <v>7</v>
      </c>
      <c r="I38" s="88">
        <f t="shared" si="5"/>
        <v>146</v>
      </c>
      <c r="J38" s="88">
        <f t="shared" si="5"/>
        <v>277</v>
      </c>
      <c r="K38" s="61">
        <f>J38/(B38)</f>
        <v>0.17882504841833441</v>
      </c>
      <c r="L38" s="11"/>
      <c r="M38" s="62" t="s">
        <v>9</v>
      </c>
      <c r="N38" s="60">
        <f>SUM(N33:N36)</f>
        <v>100</v>
      </c>
      <c r="O38" s="61">
        <f>N38/B38</f>
        <v>6.4557779212395097E-2</v>
      </c>
      <c r="P38" s="11"/>
      <c r="Q38" s="58" t="s">
        <v>9</v>
      </c>
      <c r="R38" s="88">
        <f t="shared" ref="R38:W38" si="6">SUM(R33:R36)</f>
        <v>1549</v>
      </c>
      <c r="S38" s="88">
        <f t="shared" si="6"/>
        <v>34</v>
      </c>
      <c r="T38" s="88">
        <f t="shared" si="6"/>
        <v>14</v>
      </c>
      <c r="U38" s="88">
        <f t="shared" si="6"/>
        <v>0</v>
      </c>
      <c r="V38" s="88">
        <f t="shared" si="6"/>
        <v>52</v>
      </c>
      <c r="W38" s="88">
        <f t="shared" si="6"/>
        <v>100</v>
      </c>
      <c r="X38" s="64">
        <f>W38/R38*100</f>
        <v>6.4557779212395099</v>
      </c>
      <c r="AA38" s="65"/>
    </row>
    <row r="39" spans="1:31" x14ac:dyDescent="0.2">
      <c r="AA39" s="65"/>
    </row>
    <row r="40" spans="1:31" x14ac:dyDescent="0.2">
      <c r="AA40" s="65"/>
    </row>
    <row r="41" spans="1:31" x14ac:dyDescent="0.2">
      <c r="AA41" s="65"/>
    </row>
    <row r="42" spans="1:31" x14ac:dyDescent="0.2">
      <c r="A42" s="7" t="s">
        <v>12</v>
      </c>
      <c r="AA42" s="65"/>
    </row>
    <row r="43" spans="1:31" ht="35.25" customHeight="1" x14ac:dyDescent="0.2">
      <c r="A43" s="96" t="s">
        <v>0</v>
      </c>
      <c r="B43" s="98" t="s">
        <v>1</v>
      </c>
      <c r="C43" s="100" t="s">
        <v>2</v>
      </c>
      <c r="D43" s="101"/>
      <c r="E43" s="102"/>
      <c r="F43" s="100" t="s">
        <v>3</v>
      </c>
      <c r="G43" s="101"/>
      <c r="H43" s="101"/>
      <c r="I43" s="102"/>
      <c r="J43" s="100" t="s">
        <v>4</v>
      </c>
      <c r="K43" s="102"/>
      <c r="L43" s="11"/>
      <c r="M43" s="106" t="s">
        <v>0</v>
      </c>
      <c r="N43" s="103" t="s">
        <v>5</v>
      </c>
      <c r="O43" s="105"/>
      <c r="P43" s="11"/>
      <c r="Q43" s="96" t="s">
        <v>0</v>
      </c>
      <c r="R43" s="98" t="s">
        <v>1</v>
      </c>
      <c r="S43" s="103" t="s">
        <v>6</v>
      </c>
      <c r="T43" s="104"/>
      <c r="U43" s="104"/>
      <c r="V43" s="105"/>
      <c r="W43" s="12"/>
      <c r="X43" s="13"/>
      <c r="AA43" s="65"/>
    </row>
    <row r="44" spans="1:31" s="3" customFormat="1" x14ac:dyDescent="0.2">
      <c r="A44" s="97"/>
      <c r="B44" s="99"/>
      <c r="C44" s="14" t="s">
        <v>7</v>
      </c>
      <c r="D44" s="15" t="s">
        <v>8</v>
      </c>
      <c r="E44" s="15" t="s">
        <v>9</v>
      </c>
      <c r="F44" s="14" t="s">
        <v>18</v>
      </c>
      <c r="G44" s="15" t="s">
        <v>10</v>
      </c>
      <c r="H44" s="15" t="s">
        <v>11</v>
      </c>
      <c r="I44" s="15" t="s">
        <v>13</v>
      </c>
      <c r="J44" s="14" t="s">
        <v>14</v>
      </c>
      <c r="K44" s="14" t="s">
        <v>15</v>
      </c>
      <c r="L44" s="16"/>
      <c r="M44" s="107"/>
      <c r="N44" s="14" t="s">
        <v>14</v>
      </c>
      <c r="O44" s="14" t="s">
        <v>15</v>
      </c>
      <c r="P44" s="16"/>
      <c r="Q44" s="97"/>
      <c r="R44" s="99"/>
      <c r="S44" s="15" t="str">
        <f>F44</f>
        <v>CVP</v>
      </c>
      <c r="T44" s="15" t="str">
        <f>G44</f>
        <v>FDP</v>
      </c>
      <c r="U44" s="15" t="str">
        <f>H44</f>
        <v>SP/GB</v>
      </c>
      <c r="V44" s="15" t="str">
        <f>I44</f>
        <v>FL</v>
      </c>
      <c r="W44" s="15" t="s">
        <v>9</v>
      </c>
      <c r="X44" s="17" t="s">
        <v>16</v>
      </c>
      <c r="AA44" s="65"/>
    </row>
    <row r="45" spans="1:31" x14ac:dyDescent="0.2">
      <c r="A45" s="18"/>
      <c r="B45" s="19"/>
      <c r="C45" s="20"/>
      <c r="D45" s="20"/>
      <c r="E45" s="21"/>
      <c r="F45" s="22"/>
      <c r="G45" s="23"/>
      <c r="H45" s="23"/>
      <c r="I45" s="23"/>
      <c r="J45" s="22"/>
      <c r="K45" s="22"/>
      <c r="L45" s="11"/>
      <c r="M45" s="24"/>
      <c r="N45" s="22"/>
      <c r="O45" s="22"/>
      <c r="P45" s="11"/>
      <c r="Q45" s="18"/>
      <c r="R45" s="19"/>
      <c r="S45" s="20"/>
      <c r="T45" s="21"/>
      <c r="U45" s="20"/>
      <c r="V45" s="23"/>
      <c r="W45" s="23"/>
      <c r="X45" s="25"/>
      <c r="AA45" s="65"/>
    </row>
    <row r="46" spans="1:31" x14ac:dyDescent="0.2">
      <c r="A46" s="26" t="s">
        <v>30</v>
      </c>
      <c r="B46" s="27">
        <f>E46+J46</f>
        <v>864</v>
      </c>
      <c r="C46" s="28">
        <v>494</v>
      </c>
      <c r="D46" s="29">
        <v>180</v>
      </c>
      <c r="E46" s="30">
        <f>SUM(C46:D46)</f>
        <v>674</v>
      </c>
      <c r="F46" s="28">
        <v>45</v>
      </c>
      <c r="G46" s="31">
        <v>6</v>
      </c>
      <c r="H46" s="32">
        <v>1</v>
      </c>
      <c r="I46" s="32">
        <v>138</v>
      </c>
      <c r="J46" s="28">
        <f>SUM(F46:I46)</f>
        <v>190</v>
      </c>
      <c r="K46" s="33">
        <f>J46/B46</f>
        <v>0.21990740740740741</v>
      </c>
      <c r="L46" s="11"/>
      <c r="M46" s="34" t="str">
        <f>A46</f>
        <v>Arnold-Fassbind Alois</v>
      </c>
      <c r="N46" s="28">
        <f>W46</f>
        <v>62</v>
      </c>
      <c r="O46" s="33">
        <f>N46/B46</f>
        <v>7.1759259259259259E-2</v>
      </c>
      <c r="P46" s="11"/>
      <c r="Q46" s="26" t="str">
        <f t="shared" ref="Q46:R49" si="7">A46</f>
        <v>Arnold-Fassbind Alois</v>
      </c>
      <c r="R46" s="27">
        <f t="shared" si="7"/>
        <v>864</v>
      </c>
      <c r="S46" s="29">
        <v>12</v>
      </c>
      <c r="T46" s="35">
        <v>2</v>
      </c>
      <c r="U46" s="28">
        <v>0</v>
      </c>
      <c r="V46" s="32">
        <v>48</v>
      </c>
      <c r="W46" s="31">
        <f>SUM(S46:V46)</f>
        <v>62</v>
      </c>
      <c r="X46" s="36">
        <f>W46/R46*100</f>
        <v>7.1759259259259256</v>
      </c>
      <c r="AA46" s="65"/>
    </row>
    <row r="47" spans="1:31" x14ac:dyDescent="0.2">
      <c r="A47" s="26" t="s">
        <v>32</v>
      </c>
      <c r="B47" s="27">
        <f>E47+J47</f>
        <v>787</v>
      </c>
      <c r="C47" s="28">
        <v>494</v>
      </c>
      <c r="D47" s="29">
        <v>151</v>
      </c>
      <c r="E47" s="30">
        <f>SUM(C47:D47)</f>
        <v>645</v>
      </c>
      <c r="F47" s="28">
        <v>39</v>
      </c>
      <c r="G47" s="31">
        <v>8</v>
      </c>
      <c r="H47" s="32">
        <v>1</v>
      </c>
      <c r="I47" s="32">
        <v>94</v>
      </c>
      <c r="J47" s="28">
        <f>SUM(F47:I47)</f>
        <v>142</v>
      </c>
      <c r="K47" s="33">
        <f>J47/B47</f>
        <v>0.18043202033036848</v>
      </c>
      <c r="L47" s="50"/>
      <c r="M47" s="34" t="str">
        <f>A47</f>
        <v>Gisler-Arnold Hansueli</v>
      </c>
      <c r="N47" s="28">
        <f>W47</f>
        <v>36</v>
      </c>
      <c r="O47" s="33">
        <f>N47/B47</f>
        <v>4.5743329097839895E-2</v>
      </c>
      <c r="P47" s="50"/>
      <c r="Q47" s="26" t="str">
        <f t="shared" si="7"/>
        <v>Gisler-Arnold Hansueli</v>
      </c>
      <c r="R47" s="27">
        <f t="shared" si="7"/>
        <v>787</v>
      </c>
      <c r="S47" s="29">
        <v>10</v>
      </c>
      <c r="T47" s="35">
        <v>4</v>
      </c>
      <c r="U47" s="28">
        <v>0</v>
      </c>
      <c r="V47" s="32">
        <v>22</v>
      </c>
      <c r="W47" s="31">
        <f>SUM(S47:V47)</f>
        <v>36</v>
      </c>
      <c r="X47" s="36">
        <f>W47/R47*100</f>
        <v>4.5743329097839895</v>
      </c>
      <c r="Y47" s="1"/>
      <c r="Z47" s="1"/>
      <c r="AA47" s="93"/>
      <c r="AB47" s="1"/>
      <c r="AC47" s="1"/>
      <c r="AD47" s="1"/>
      <c r="AE47" s="1"/>
    </row>
    <row r="48" spans="1:31" s="9" customFormat="1" x14ac:dyDescent="0.2">
      <c r="A48" s="37" t="s">
        <v>31</v>
      </c>
      <c r="B48" s="38">
        <f>E48+J48</f>
        <v>772</v>
      </c>
      <c r="C48" s="39">
        <v>494</v>
      </c>
      <c r="D48" s="40">
        <v>158</v>
      </c>
      <c r="E48" s="41">
        <f>SUM(C48:D48)</f>
        <v>652</v>
      </c>
      <c r="F48" s="39">
        <v>26</v>
      </c>
      <c r="G48" s="42">
        <v>6</v>
      </c>
      <c r="H48" s="43">
        <v>2</v>
      </c>
      <c r="I48" s="43">
        <v>86</v>
      </c>
      <c r="J48" s="39">
        <f>SUM(F48:I48)</f>
        <v>120</v>
      </c>
      <c r="K48" s="44">
        <f>J48/B48</f>
        <v>0.15544041450777202</v>
      </c>
      <c r="L48" s="45"/>
      <c r="M48" s="46" t="str">
        <f>A48</f>
        <v xml:space="preserve">Arnold Alois </v>
      </c>
      <c r="N48" s="39">
        <f>W48</f>
        <v>24</v>
      </c>
      <c r="O48" s="44">
        <f>N48/B48</f>
        <v>3.1088082901554404E-2</v>
      </c>
      <c r="P48" s="45"/>
      <c r="Q48" s="37" t="str">
        <f t="shared" si="7"/>
        <v xml:space="preserve">Arnold Alois </v>
      </c>
      <c r="R48" s="38">
        <f t="shared" si="7"/>
        <v>772</v>
      </c>
      <c r="S48" s="40">
        <v>2</v>
      </c>
      <c r="T48" s="47">
        <v>2</v>
      </c>
      <c r="U48" s="39">
        <v>2</v>
      </c>
      <c r="V48" s="43">
        <v>18</v>
      </c>
      <c r="W48" s="42">
        <f>SUM(S48:V48)</f>
        <v>24</v>
      </c>
      <c r="X48" s="48">
        <f>W48/R48*100</f>
        <v>3.1088082901554404</v>
      </c>
      <c r="AA48" s="94"/>
    </row>
    <row r="49" spans="1:27" x14ac:dyDescent="0.2">
      <c r="A49" s="26" t="s">
        <v>33</v>
      </c>
      <c r="B49" s="27">
        <f>E49+J49</f>
        <v>363</v>
      </c>
      <c r="C49" s="28">
        <v>247</v>
      </c>
      <c r="D49" s="29">
        <v>64</v>
      </c>
      <c r="E49" s="30">
        <f>SUM(C49:D49)</f>
        <v>311</v>
      </c>
      <c r="F49" s="28">
        <v>1</v>
      </c>
      <c r="G49" s="31">
        <v>3</v>
      </c>
      <c r="H49" s="32">
        <v>0</v>
      </c>
      <c r="I49" s="32">
        <v>48</v>
      </c>
      <c r="J49" s="28">
        <f>SUM(F49:I49)</f>
        <v>52</v>
      </c>
      <c r="K49" s="33">
        <f>J49/B49</f>
        <v>0.14325068870523416</v>
      </c>
      <c r="L49" s="49"/>
      <c r="M49" s="34" t="str">
        <f>A49</f>
        <v>Gisler Sepp</v>
      </c>
      <c r="N49" s="28">
        <f>W49</f>
        <v>18</v>
      </c>
      <c r="O49" s="33">
        <f>N49/B49</f>
        <v>4.9586776859504134E-2</v>
      </c>
      <c r="P49" s="50"/>
      <c r="Q49" s="26" t="str">
        <f t="shared" si="7"/>
        <v>Gisler Sepp</v>
      </c>
      <c r="R49" s="27">
        <f t="shared" si="7"/>
        <v>363</v>
      </c>
      <c r="S49" s="29">
        <v>0</v>
      </c>
      <c r="T49" s="35">
        <v>0</v>
      </c>
      <c r="U49" s="28">
        <v>0</v>
      </c>
      <c r="V49" s="32">
        <v>18</v>
      </c>
      <c r="W49" s="31">
        <f>SUM(S49:V49)</f>
        <v>18</v>
      </c>
      <c r="X49" s="36">
        <f>W49/R49*100</f>
        <v>4.9586776859504136</v>
      </c>
      <c r="AA49" s="65"/>
    </row>
    <row r="50" spans="1:27" x14ac:dyDescent="0.2">
      <c r="A50" s="51"/>
      <c r="B50" s="52"/>
      <c r="C50" s="53"/>
      <c r="D50" s="53"/>
      <c r="E50" s="54"/>
      <c r="F50" s="53"/>
      <c r="G50" s="55"/>
      <c r="H50" s="55"/>
      <c r="I50" s="55"/>
      <c r="J50" s="53"/>
      <c r="K50" s="53"/>
      <c r="L50" s="11"/>
      <c r="M50" s="56"/>
      <c r="N50" s="53"/>
      <c r="O50" s="53"/>
      <c r="P50" s="11"/>
      <c r="Q50" s="51"/>
      <c r="R50" s="52"/>
      <c r="S50" s="53"/>
      <c r="T50" s="54"/>
      <c r="U50" s="53"/>
      <c r="V50" s="55"/>
      <c r="W50" s="55"/>
      <c r="X50" s="57"/>
      <c r="AA50" s="65"/>
    </row>
    <row r="51" spans="1:27" x14ac:dyDescent="0.2">
      <c r="A51" s="58" t="s">
        <v>9</v>
      </c>
      <c r="B51" s="59">
        <f>SUM(B46:B49)</f>
        <v>2786</v>
      </c>
      <c r="C51" s="60">
        <f t="shared" ref="C51:J51" si="8">SUM(C46:C50)</f>
        <v>1729</v>
      </c>
      <c r="D51" s="60">
        <f t="shared" si="8"/>
        <v>553</v>
      </c>
      <c r="E51" s="60">
        <f t="shared" si="8"/>
        <v>2282</v>
      </c>
      <c r="F51" s="60">
        <f t="shared" si="8"/>
        <v>111</v>
      </c>
      <c r="G51" s="60">
        <f t="shared" si="8"/>
        <v>23</v>
      </c>
      <c r="H51" s="60">
        <f t="shared" si="8"/>
        <v>4</v>
      </c>
      <c r="I51" s="60">
        <f t="shared" si="8"/>
        <v>366</v>
      </c>
      <c r="J51" s="60">
        <f t="shared" si="8"/>
        <v>504</v>
      </c>
      <c r="K51" s="61">
        <f>J51/(B51)</f>
        <v>0.18090452261306533</v>
      </c>
      <c r="L51" s="11"/>
      <c r="M51" s="62" t="s">
        <v>9</v>
      </c>
      <c r="N51" s="60">
        <f>SUM(N46:N50)</f>
        <v>140</v>
      </c>
      <c r="O51" s="61">
        <f>N51/B51</f>
        <v>5.0251256281407038E-2</v>
      </c>
      <c r="P51" s="11"/>
      <c r="Q51" s="58" t="s">
        <v>9</v>
      </c>
      <c r="R51" s="59">
        <f>SUM(R46:R49)</f>
        <v>2786</v>
      </c>
      <c r="S51" s="60">
        <f>SUM(S46:S50)</f>
        <v>24</v>
      </c>
      <c r="T51" s="63">
        <f>SUM(T46:T50)</f>
        <v>8</v>
      </c>
      <c r="U51" s="60">
        <f>SUM(U46:U50)</f>
        <v>2</v>
      </c>
      <c r="V51" s="60">
        <f>SUM(V46:V50)</f>
        <v>106</v>
      </c>
      <c r="W51" s="60">
        <f>SUM(W46:W50)</f>
        <v>140</v>
      </c>
      <c r="X51" s="64">
        <f>W51/R51*100</f>
        <v>5.025125628140704</v>
      </c>
      <c r="AA51" s="65"/>
    </row>
    <row r="52" spans="1:27" x14ac:dyDescent="0.2">
      <c r="AA52" s="65"/>
    </row>
    <row r="53" spans="1:27" x14ac:dyDescent="0.2">
      <c r="AA53" s="65"/>
    </row>
    <row r="54" spans="1:27" x14ac:dyDescent="0.2">
      <c r="AA54" s="65"/>
    </row>
    <row r="55" spans="1:27" x14ac:dyDescent="0.2">
      <c r="AA55" s="65"/>
    </row>
    <row r="56" spans="1:27" x14ac:dyDescent="0.2">
      <c r="AA56" s="65"/>
    </row>
    <row r="57" spans="1:27" x14ac:dyDescent="0.2">
      <c r="AA57" s="65"/>
    </row>
    <row r="58" spans="1:27" x14ac:dyDescent="0.2">
      <c r="AA58" s="65"/>
    </row>
    <row r="59" spans="1:27" x14ac:dyDescent="0.2">
      <c r="AA59" s="65"/>
    </row>
    <row r="60" spans="1:27" x14ac:dyDescent="0.2">
      <c r="AA60" s="65"/>
    </row>
    <row r="61" spans="1:27" x14ac:dyDescent="0.2">
      <c r="AA61" s="65"/>
    </row>
    <row r="62" spans="1:27" x14ac:dyDescent="0.2">
      <c r="AA62" s="65"/>
    </row>
    <row r="63" spans="1:27" x14ac:dyDescent="0.2">
      <c r="AA63" s="65"/>
    </row>
    <row r="64" spans="1:27" x14ac:dyDescent="0.2">
      <c r="AA64" s="65"/>
    </row>
    <row r="65" spans="27:27" x14ac:dyDescent="0.2">
      <c r="AA65" s="65"/>
    </row>
    <row r="66" spans="27:27" x14ac:dyDescent="0.2">
      <c r="AA66" s="65"/>
    </row>
    <row r="67" spans="27:27" x14ac:dyDescent="0.2">
      <c r="AA67" s="65"/>
    </row>
    <row r="68" spans="27:27" x14ac:dyDescent="0.2">
      <c r="AA68" s="65"/>
    </row>
    <row r="69" spans="27:27" x14ac:dyDescent="0.2">
      <c r="AA69" s="65"/>
    </row>
    <row r="70" spans="27:27" x14ac:dyDescent="0.2">
      <c r="AA70" s="65"/>
    </row>
    <row r="71" spans="27:27" x14ac:dyDescent="0.2">
      <c r="AA71" s="65"/>
    </row>
    <row r="72" spans="27:27" x14ac:dyDescent="0.2">
      <c r="AA72" s="65"/>
    </row>
    <row r="73" spans="27:27" x14ac:dyDescent="0.2">
      <c r="AA73" s="65"/>
    </row>
    <row r="74" spans="27:27" x14ac:dyDescent="0.2">
      <c r="AA74" s="65"/>
    </row>
    <row r="75" spans="27:27" x14ac:dyDescent="0.2">
      <c r="AA75" s="65"/>
    </row>
    <row r="76" spans="27:27" x14ac:dyDescent="0.2">
      <c r="AA76" s="65"/>
    </row>
    <row r="77" spans="27:27" x14ac:dyDescent="0.2">
      <c r="AA77" s="65"/>
    </row>
    <row r="78" spans="27:27" x14ac:dyDescent="0.2">
      <c r="AA78" s="65"/>
    </row>
    <row r="79" spans="27:27" x14ac:dyDescent="0.2">
      <c r="AA79" s="65"/>
    </row>
    <row r="80" spans="27:27" x14ac:dyDescent="0.2">
      <c r="AA80" s="65"/>
    </row>
    <row r="81" spans="27:27" x14ac:dyDescent="0.2">
      <c r="AA81" s="65"/>
    </row>
    <row r="82" spans="27:27" x14ac:dyDescent="0.2">
      <c r="AA82" s="65"/>
    </row>
    <row r="83" spans="27:27" x14ac:dyDescent="0.2">
      <c r="AA83" s="65"/>
    </row>
    <row r="84" spans="27:27" x14ac:dyDescent="0.2">
      <c r="AA84" s="65"/>
    </row>
    <row r="85" spans="27:27" x14ac:dyDescent="0.2">
      <c r="AA85" s="65"/>
    </row>
  </sheetData>
  <sortState ref="A19:AE23">
    <sortCondition descending="1" ref="B19:B23"/>
  </sortState>
  <mergeCells count="40">
    <mergeCell ref="N30:O30"/>
    <mergeCell ref="Q30:Q31"/>
    <mergeCell ref="R30:R31"/>
    <mergeCell ref="S30:V30"/>
    <mergeCell ref="A30:A31"/>
    <mergeCell ref="B30:B31"/>
    <mergeCell ref="C30:E30"/>
    <mergeCell ref="F30:I30"/>
    <mergeCell ref="J30:K30"/>
    <mergeCell ref="M30:M31"/>
    <mergeCell ref="A16:A17"/>
    <mergeCell ref="B16:B17"/>
    <mergeCell ref="C16:E16"/>
    <mergeCell ref="F16:I16"/>
    <mergeCell ref="A2:A3"/>
    <mergeCell ref="B2:B3"/>
    <mergeCell ref="C2:E2"/>
    <mergeCell ref="F2:I2"/>
    <mergeCell ref="A43:A44"/>
    <mergeCell ref="B43:B44"/>
    <mergeCell ref="C43:E43"/>
    <mergeCell ref="F43:I43"/>
    <mergeCell ref="S2:V2"/>
    <mergeCell ref="J43:K43"/>
    <mergeCell ref="M43:M44"/>
    <mergeCell ref="N16:O16"/>
    <mergeCell ref="M2:M3"/>
    <mergeCell ref="N2:O2"/>
    <mergeCell ref="M16:M17"/>
    <mergeCell ref="J2:K2"/>
    <mergeCell ref="J16:K16"/>
    <mergeCell ref="N43:O43"/>
    <mergeCell ref="Q2:Q3"/>
    <mergeCell ref="R2:R3"/>
    <mergeCell ref="Q43:Q44"/>
    <mergeCell ref="R43:R44"/>
    <mergeCell ref="S43:V43"/>
    <mergeCell ref="Q16:Q17"/>
    <mergeCell ref="R16:R17"/>
    <mergeCell ref="S16:V16"/>
  </mergeCells>
  <phoneticPr fontId="2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Ausw. Altdorf</vt:lpstr>
    </vt:vector>
  </TitlesOfParts>
  <Company>Kantonale Verwaltung 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Zurfluh</dc:creator>
  <cp:lastModifiedBy>Zurfluh Adrian</cp:lastModifiedBy>
  <dcterms:created xsi:type="dcterms:W3CDTF">2008-04-15T07:17:48Z</dcterms:created>
  <dcterms:modified xsi:type="dcterms:W3CDTF">2020-05-06T16:29:14Z</dcterms:modified>
</cp:coreProperties>
</file>
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LA\Alle\Abstimmung\2020\08.03.2020 Kantonale Wahlen\Stat. Auswertung LR-Wahlen\Altdorf\"/>
    </mc:Choice>
  </mc:AlternateContent>
  <bookViews>
    <workbookView xWindow="480" yWindow="75" windowWidth="16380" windowHeight="9345"/>
  </bookViews>
  <sheets>
    <sheet name="Ausw. Altdorf" sheetId="2" r:id="rId1"/>
  </sheets>
  <definedNames>
    <definedName name="Felber">#REF!</definedName>
  </definedNames>
  <calcPr calcId="162913"/>
</workbook>
</file>

<file path=xl/calcChain.xml><?xml version="1.0" encoding="utf-8"?>
<calcChain xmlns="http://schemas.openxmlformats.org/spreadsheetml/2006/main">
  <c r="N7" i="2" l="1"/>
  <c r="C58" i="2" l="1"/>
  <c r="C6" i="2"/>
  <c r="C7" i="2" s="1"/>
  <c r="C8" i="2" s="1"/>
  <c r="H49" i="2"/>
  <c r="S49" i="2"/>
  <c r="T49" i="2"/>
  <c r="U49" i="2"/>
  <c r="V49" i="2"/>
  <c r="D49" i="2"/>
  <c r="F49" i="2"/>
  <c r="G49" i="2"/>
  <c r="I49" i="2"/>
  <c r="G31" i="2"/>
  <c r="G14" i="2"/>
  <c r="W45" i="2"/>
  <c r="N45" i="2" s="1"/>
  <c r="Q45" i="2"/>
  <c r="M45" i="2"/>
  <c r="J45" i="2"/>
  <c r="W44" i="2"/>
  <c r="N44" i="2" s="1"/>
  <c r="Q44" i="2"/>
  <c r="M44" i="2"/>
  <c r="J44" i="2"/>
  <c r="W47" i="2"/>
  <c r="N47" i="2" s="1"/>
  <c r="Q47" i="2"/>
  <c r="M47" i="2"/>
  <c r="J47" i="2"/>
  <c r="W46" i="2"/>
  <c r="N46" i="2" s="1"/>
  <c r="Q46" i="2"/>
  <c r="M46" i="2"/>
  <c r="J46" i="2"/>
  <c r="W42" i="2"/>
  <c r="Q42" i="2"/>
  <c r="M42" i="2"/>
  <c r="J42" i="2"/>
  <c r="W43" i="2"/>
  <c r="N43" i="2" s="1"/>
  <c r="Q43" i="2"/>
  <c r="M43" i="2"/>
  <c r="J43" i="2"/>
  <c r="W41" i="2"/>
  <c r="Q41" i="2"/>
  <c r="M41" i="2"/>
  <c r="J41" i="2"/>
  <c r="W40" i="2"/>
  <c r="N40" i="2" s="1"/>
  <c r="Q40" i="2"/>
  <c r="M40" i="2"/>
  <c r="J40" i="2"/>
  <c r="W39" i="2"/>
  <c r="N39" i="2" s="1"/>
  <c r="Q39" i="2"/>
  <c r="M39" i="2"/>
  <c r="J39" i="2"/>
  <c r="E39" i="2"/>
  <c r="V37" i="2"/>
  <c r="U37" i="2"/>
  <c r="T37" i="2"/>
  <c r="S37" i="2"/>
  <c r="T14" i="2"/>
  <c r="T3" i="2"/>
  <c r="U3" i="2"/>
  <c r="V3" i="2"/>
  <c r="T31" i="2"/>
  <c r="V20" i="2"/>
  <c r="T20" i="2"/>
  <c r="U20" i="2"/>
  <c r="T66" i="2"/>
  <c r="T55" i="2"/>
  <c r="U55" i="2"/>
  <c r="V55" i="2"/>
  <c r="G66" i="2"/>
  <c r="E24" i="2"/>
  <c r="J24" i="2"/>
  <c r="M24" i="2"/>
  <c r="Q24" i="2"/>
  <c r="W24" i="2"/>
  <c r="N24" i="2" s="1"/>
  <c r="J28" i="2"/>
  <c r="M28" i="2"/>
  <c r="Q28" i="2"/>
  <c r="W28" i="2"/>
  <c r="N28" i="2" s="1"/>
  <c r="J29" i="2"/>
  <c r="M29" i="2"/>
  <c r="Q29" i="2"/>
  <c r="W29" i="2"/>
  <c r="N29" i="2" s="1"/>
  <c r="J25" i="2"/>
  <c r="M25" i="2"/>
  <c r="Q25" i="2"/>
  <c r="W25" i="2"/>
  <c r="N25" i="2" s="1"/>
  <c r="J23" i="2"/>
  <c r="M23" i="2"/>
  <c r="Q23" i="2"/>
  <c r="W23" i="2"/>
  <c r="N23" i="2" s="1"/>
  <c r="J26" i="2"/>
  <c r="M26" i="2"/>
  <c r="Q26" i="2"/>
  <c r="W26" i="2"/>
  <c r="N26" i="2" s="1"/>
  <c r="J27" i="2"/>
  <c r="M27" i="2"/>
  <c r="Q27" i="2"/>
  <c r="W27" i="2"/>
  <c r="N27" i="2" s="1"/>
  <c r="D31" i="2"/>
  <c r="F31" i="2"/>
  <c r="H31" i="2"/>
  <c r="I31" i="2"/>
  <c r="S31" i="2"/>
  <c r="U31" i="2"/>
  <c r="V31" i="2"/>
  <c r="S55" i="2"/>
  <c r="E57" i="2"/>
  <c r="J57" i="2"/>
  <c r="M57" i="2"/>
  <c r="Q57" i="2"/>
  <c r="W57" i="2"/>
  <c r="N57" i="2" s="1"/>
  <c r="J62" i="2"/>
  <c r="M62" i="2"/>
  <c r="Q62" i="2"/>
  <c r="W62" i="2"/>
  <c r="N62" i="2" s="1"/>
  <c r="J58" i="2"/>
  <c r="M58" i="2"/>
  <c r="Q58" i="2"/>
  <c r="W58" i="2"/>
  <c r="N58" i="2" s="1"/>
  <c r="J61" i="2"/>
  <c r="M61" i="2"/>
  <c r="Q61" i="2"/>
  <c r="W61" i="2"/>
  <c r="N61" i="2" s="1"/>
  <c r="J59" i="2"/>
  <c r="M59" i="2"/>
  <c r="Q59" i="2"/>
  <c r="W59" i="2"/>
  <c r="N59" i="2" s="1"/>
  <c r="J60" i="2"/>
  <c r="M60" i="2"/>
  <c r="Q60" i="2"/>
  <c r="W60" i="2"/>
  <c r="J63" i="2"/>
  <c r="M63" i="2"/>
  <c r="Q63" i="2"/>
  <c r="W63" i="2"/>
  <c r="N63" i="2" s="1"/>
  <c r="J64" i="2"/>
  <c r="M64" i="2"/>
  <c r="Q64" i="2"/>
  <c r="W64" i="2"/>
  <c r="N64" i="2" s="1"/>
  <c r="D66" i="2"/>
  <c r="F66" i="2"/>
  <c r="H66" i="2"/>
  <c r="I66" i="2"/>
  <c r="S66" i="2"/>
  <c r="U66" i="2"/>
  <c r="V66" i="2"/>
  <c r="M6" i="2"/>
  <c r="Q6" i="2"/>
  <c r="W6" i="2"/>
  <c r="N6" i="2" s="1"/>
  <c r="M8" i="2"/>
  <c r="Q8" i="2"/>
  <c r="W8" i="2"/>
  <c r="N8" i="2" s="1"/>
  <c r="M10" i="2"/>
  <c r="Q10" i="2"/>
  <c r="W10" i="2"/>
  <c r="N10" i="2" s="1"/>
  <c r="M9" i="2"/>
  <c r="Q9" i="2"/>
  <c r="W9" i="2"/>
  <c r="N9" i="2" s="1"/>
  <c r="M5" i="2"/>
  <c r="Q5" i="2"/>
  <c r="W5" i="2"/>
  <c r="N5" i="2" s="1"/>
  <c r="E6" i="2"/>
  <c r="J6" i="2"/>
  <c r="J8" i="2"/>
  <c r="J10" i="2"/>
  <c r="J9" i="2"/>
  <c r="E5" i="2"/>
  <c r="J5" i="2"/>
  <c r="W22" i="2"/>
  <c r="N22" i="2" s="1"/>
  <c r="J22" i="2"/>
  <c r="W11" i="2"/>
  <c r="N11" i="2" s="1"/>
  <c r="W12" i="2"/>
  <c r="N12" i="2" s="1"/>
  <c r="W7" i="2"/>
  <c r="J11" i="2"/>
  <c r="J12" i="2"/>
  <c r="J7" i="2"/>
  <c r="S3" i="2"/>
  <c r="S20" i="2"/>
  <c r="S14" i="2"/>
  <c r="U14" i="2"/>
  <c r="V14" i="2"/>
  <c r="Q22" i="2"/>
  <c r="Q7" i="2"/>
  <c r="Q12" i="2"/>
  <c r="Q11" i="2"/>
  <c r="M11" i="2"/>
  <c r="M12" i="2"/>
  <c r="M7" i="2"/>
  <c r="M22" i="2"/>
  <c r="F14" i="2"/>
  <c r="H14" i="2"/>
  <c r="I14" i="2"/>
  <c r="D14" i="2"/>
  <c r="E58" i="2" l="1"/>
  <c r="B58" i="2" s="1"/>
  <c r="K58" i="2" s="1"/>
  <c r="C40" i="2"/>
  <c r="C41" i="2" s="1"/>
  <c r="E41" i="2" s="1"/>
  <c r="B41" i="2" s="1"/>
  <c r="R41" i="2" s="1"/>
  <c r="X41" i="2" s="1"/>
  <c r="E7" i="2"/>
  <c r="B7" i="2" s="1"/>
  <c r="K7" i="2" s="1"/>
  <c r="C9" i="2"/>
  <c r="C10" i="2" s="1"/>
  <c r="E10" i="2" s="1"/>
  <c r="B10" i="2" s="1"/>
  <c r="R10" i="2" s="1"/>
  <c r="X10" i="2" s="1"/>
  <c r="E8" i="2"/>
  <c r="B8" i="2" s="1"/>
  <c r="O8" i="2" s="1"/>
  <c r="B24" i="2"/>
  <c r="R24" i="2" s="1"/>
  <c r="X24" i="2" s="1"/>
  <c r="B39" i="2"/>
  <c r="K39" i="2" s="1"/>
  <c r="B5" i="2"/>
  <c r="K5" i="2" s="1"/>
  <c r="J31" i="2"/>
  <c r="W31" i="2"/>
  <c r="J14" i="2"/>
  <c r="W66" i="2"/>
  <c r="B6" i="2"/>
  <c r="R6" i="2" s="1"/>
  <c r="W49" i="2"/>
  <c r="J66" i="2"/>
  <c r="N14" i="2"/>
  <c r="J49" i="2"/>
  <c r="W14" i="2"/>
  <c r="N60" i="2"/>
  <c r="N42" i="2"/>
  <c r="B57" i="2"/>
  <c r="N31" i="2"/>
  <c r="N41" i="2"/>
  <c r="R58" i="2" l="1"/>
  <c r="X58" i="2" s="1"/>
  <c r="C59" i="2"/>
  <c r="O58" i="2"/>
  <c r="R39" i="2"/>
  <c r="X39" i="2" s="1"/>
  <c r="O39" i="2"/>
  <c r="E40" i="2"/>
  <c r="E9" i="2"/>
  <c r="C11" i="2"/>
  <c r="C12" i="2" s="1"/>
  <c r="K24" i="2"/>
  <c r="O24" i="2"/>
  <c r="R7" i="2"/>
  <c r="X7" i="2" s="1"/>
  <c r="O5" i="2"/>
  <c r="K8" i="2"/>
  <c r="R8" i="2"/>
  <c r="X8" i="2" s="1"/>
  <c r="R5" i="2"/>
  <c r="X5" i="2" s="1"/>
  <c r="K6" i="2"/>
  <c r="O6" i="2"/>
  <c r="K10" i="2"/>
  <c r="O7" i="2"/>
  <c r="O10" i="2"/>
  <c r="K41" i="2"/>
  <c r="X6" i="2"/>
  <c r="N66" i="2"/>
  <c r="O41" i="2"/>
  <c r="R57" i="2"/>
  <c r="K57" i="2"/>
  <c r="N49" i="2"/>
  <c r="O57" i="2"/>
  <c r="E59" i="2" l="1"/>
  <c r="B59" i="2" s="1"/>
  <c r="C42" i="2"/>
  <c r="C43" i="2" s="1"/>
  <c r="E43" i="2" s="1"/>
  <c r="B43" i="2" s="1"/>
  <c r="B40" i="2"/>
  <c r="B9" i="2"/>
  <c r="E12" i="2"/>
  <c r="B12" i="2" s="1"/>
  <c r="E11" i="2"/>
  <c r="B11" i="2" s="1"/>
  <c r="C14" i="2"/>
  <c r="X57" i="2"/>
  <c r="K59" i="2" l="1"/>
  <c r="R59" i="2"/>
  <c r="X59" i="2" s="1"/>
  <c r="O59" i="2"/>
  <c r="C60" i="2"/>
  <c r="C61" i="2" s="1"/>
  <c r="C62" i="2" s="1"/>
  <c r="E62" i="2" s="1"/>
  <c r="B62" i="2" s="1"/>
  <c r="K40" i="2"/>
  <c r="O40" i="2"/>
  <c r="R40" i="2"/>
  <c r="C44" i="2"/>
  <c r="C45" i="2" s="1"/>
  <c r="C46" i="2" s="1"/>
  <c r="C47" i="2" s="1"/>
  <c r="E47" i="2" s="1"/>
  <c r="B47" i="2" s="1"/>
  <c r="E42" i="2"/>
  <c r="K43" i="2"/>
  <c r="R43" i="2"/>
  <c r="X43" i="2" s="1"/>
  <c r="O43" i="2"/>
  <c r="E14" i="2"/>
  <c r="O9" i="2"/>
  <c r="K9" i="2"/>
  <c r="B14" i="2"/>
  <c r="R9" i="2"/>
  <c r="K11" i="2"/>
  <c r="R11" i="2"/>
  <c r="X11" i="2" s="1"/>
  <c r="O11" i="2"/>
  <c r="R12" i="2"/>
  <c r="X12" i="2" s="1"/>
  <c r="K12" i="2"/>
  <c r="O12" i="2"/>
  <c r="K62" i="2" l="1"/>
  <c r="R62" i="2"/>
  <c r="X62" i="2" s="1"/>
  <c r="O62" i="2"/>
  <c r="E61" i="2"/>
  <c r="R47" i="2"/>
  <c r="X47" i="2" s="1"/>
  <c r="O47" i="2"/>
  <c r="K47" i="2"/>
  <c r="B61" i="2"/>
  <c r="C63" i="2"/>
  <c r="E60" i="2"/>
  <c r="B60" i="2" s="1"/>
  <c r="B42" i="2"/>
  <c r="E44" i="2"/>
  <c r="B44" i="2" s="1"/>
  <c r="X40" i="2"/>
  <c r="X9" i="2"/>
  <c r="R14" i="2"/>
  <c r="X14" i="2" s="1"/>
  <c r="K14" i="2"/>
  <c r="O14" i="2"/>
  <c r="R60" i="2" l="1"/>
  <c r="X60" i="2" s="1"/>
  <c r="K60" i="2"/>
  <c r="O60" i="2"/>
  <c r="C64" i="2"/>
  <c r="E64" i="2" s="1"/>
  <c r="B64" i="2" s="1"/>
  <c r="E63" i="2"/>
  <c r="B63" i="2" s="1"/>
  <c r="C66" i="2"/>
  <c r="R61" i="2"/>
  <c r="O61" i="2"/>
  <c r="K61" i="2"/>
  <c r="R44" i="2"/>
  <c r="X44" i="2" s="1"/>
  <c r="K44" i="2"/>
  <c r="O44" i="2"/>
  <c r="E46" i="2"/>
  <c r="B46" i="2" s="1"/>
  <c r="E45" i="2"/>
  <c r="B45" i="2" s="1"/>
  <c r="C49" i="2"/>
  <c r="R42" i="2"/>
  <c r="K42" i="2"/>
  <c r="O42" i="2"/>
  <c r="E66" i="2" l="1"/>
  <c r="E49" i="2"/>
  <c r="R63" i="2"/>
  <c r="X63" i="2" s="1"/>
  <c r="O63" i="2"/>
  <c r="K63" i="2"/>
  <c r="B66" i="2"/>
  <c r="X61" i="2"/>
  <c r="O64" i="2"/>
  <c r="R64" i="2"/>
  <c r="X64" i="2" s="1"/>
  <c r="K64" i="2"/>
  <c r="R45" i="2"/>
  <c r="X45" i="2" s="1"/>
  <c r="K45" i="2"/>
  <c r="O45" i="2"/>
  <c r="X42" i="2"/>
  <c r="R46" i="2"/>
  <c r="X46" i="2" s="1"/>
  <c r="K46" i="2"/>
  <c r="O46" i="2"/>
  <c r="B49" i="2"/>
  <c r="R66" i="2" l="1"/>
  <c r="X66" i="2" s="1"/>
  <c r="K66" i="2"/>
  <c r="O66" i="2"/>
  <c r="R49" i="2"/>
  <c r="X49" i="2" s="1"/>
  <c r="K49" i="2"/>
  <c r="O49" i="2"/>
  <c r="E22" i="2" l="1"/>
  <c r="E25" i="2"/>
  <c r="B25" i="2" s="1"/>
  <c r="E23" i="2"/>
  <c r="B23" i="2" s="1"/>
  <c r="E29" i="2"/>
  <c r="B29" i="2"/>
  <c r="R29" i="2" s="1"/>
  <c r="X29" i="2" s="1"/>
  <c r="E28" i="2"/>
  <c r="B28" i="2" s="1"/>
  <c r="R28" i="2" s="1"/>
  <c r="X28" i="2" s="1"/>
  <c r="E27" i="2"/>
  <c r="B27" i="2" s="1"/>
  <c r="E26" i="2"/>
  <c r="B26" i="2" s="1"/>
  <c r="C31" i="2"/>
  <c r="O26" i="2" l="1"/>
  <c r="R26" i="2"/>
  <c r="X26" i="2" s="1"/>
  <c r="K26" i="2"/>
  <c r="K27" i="2"/>
  <c r="O27" i="2"/>
  <c r="K23" i="2"/>
  <c r="O23" i="2"/>
  <c r="E31" i="2"/>
  <c r="R25" i="2"/>
  <c r="X25" i="2" s="1"/>
  <c r="K25" i="2"/>
  <c r="B22" i="2"/>
  <c r="R22" i="2" s="1"/>
  <c r="B31" i="2"/>
  <c r="O31" i="2" s="1"/>
  <c r="O25" i="2"/>
  <c r="R27" i="2"/>
  <c r="X27" i="2" s="1"/>
  <c r="O29" i="2"/>
  <c r="K22" i="2"/>
  <c r="K29" i="2"/>
  <c r="O28" i="2"/>
  <c r="R23" i="2"/>
  <c r="X23" i="2" s="1"/>
  <c r="K28" i="2"/>
  <c r="O22" i="2" l="1"/>
  <c r="K31" i="2"/>
  <c r="X22" i="2"/>
  <c r="R31" i="2"/>
  <c r="X31" i="2" s="1"/>
</calcChain>
</file>

<file path=xl/sharedStrings.xml><?xml version="1.0" encoding="utf-8"?>
<sst xmlns="http://schemas.openxmlformats.org/spreadsheetml/2006/main" count="142" uniqueCount="52">
  <si>
    <t>Name</t>
  </si>
  <si>
    <t>Stimmen</t>
  </si>
  <si>
    <t>Stimmen von eigener Liste</t>
  </si>
  <si>
    <t>Stimmen von veränderten WZ der Liste</t>
  </si>
  <si>
    <t>Stimmen von fremden Listen</t>
  </si>
  <si>
    <t>Kumulierte Stimmen auf fremden Listen</t>
  </si>
  <si>
    <t>Kumulierte Kandidatenstimmen auf Listen der</t>
  </si>
  <si>
    <t>unver.</t>
  </si>
  <si>
    <t>ver.</t>
  </si>
  <si>
    <t>Total</t>
  </si>
  <si>
    <t>FDP</t>
  </si>
  <si>
    <t>SP/GB</t>
  </si>
  <si>
    <t>SVP</t>
  </si>
  <si>
    <t>FL</t>
  </si>
  <si>
    <t>abs.</t>
  </si>
  <si>
    <t>%</t>
  </si>
  <si>
    <t>in %</t>
  </si>
  <si>
    <t>Diese Spalten manuell nachtragen, auch Parteien ändern!</t>
  </si>
  <si>
    <t>CVP</t>
  </si>
  <si>
    <t>Sicher Thomas</t>
  </si>
  <si>
    <t>Huber Céline</t>
  </si>
  <si>
    <t>Roeleven Marco</t>
  </si>
  <si>
    <t>Simmen Franz-Xaver</t>
  </si>
  <si>
    <t>Gisler-Bissig Lea</t>
  </si>
  <si>
    <t>Prandi Adriano</t>
  </si>
  <si>
    <t>Sommer Nora</t>
  </si>
  <si>
    <t>Walker Raphael</t>
  </si>
  <si>
    <t>Infanger Walter</t>
  </si>
  <si>
    <t xml:space="preserve">Gisler Kurt </t>
  </si>
  <si>
    <t xml:space="preserve">Keusch Rafael </t>
  </si>
  <si>
    <t xml:space="preserve">Gisler-Jauch Regula </t>
  </si>
  <si>
    <t>Schilter Tobias</t>
  </si>
  <si>
    <t>Planzer Stefan</t>
  </si>
  <si>
    <t>Arnold Michael</t>
  </si>
  <si>
    <t xml:space="preserve">Gisler Chiara </t>
  </si>
  <si>
    <t>Brunner Niklaus</t>
  </si>
  <si>
    <t xml:space="preserve">Kilchmann Imhof Judith </t>
  </si>
  <si>
    <t xml:space="preserve">Gisler Stefanie </t>
  </si>
  <si>
    <t>Imholz Alain</t>
  </si>
  <si>
    <t xml:space="preserve">Tarelli Dorothea </t>
  </si>
  <si>
    <t xml:space="preserve">Althaus Yves </t>
  </si>
  <si>
    <t>Dittli Daniel</t>
  </si>
  <si>
    <t>Schillig Ivo</t>
  </si>
  <si>
    <t>Unternährer Guido</t>
  </si>
  <si>
    <t>Blöchlinger Pascal</t>
  </si>
  <si>
    <t>Arnold Elias</t>
  </si>
  <si>
    <t xml:space="preserve">Affentranger Fabio </t>
  </si>
  <si>
    <t>Brunner Claudia</t>
  </si>
  <si>
    <t xml:space="preserve">Von Mentlen Michael </t>
  </si>
  <si>
    <t>Gisler André</t>
  </si>
  <si>
    <t>Widmer Albert</t>
  </si>
  <si>
    <t>Imholz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</si>
</sst>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/>
  </cellStyleXfs>
  <cellXfs count="115">
    <xf numFmtId="0" fontId="0" fillId="0" borderId="0" xfId="0">
      <alignment vertical="center"/>
    </xf>
    <xf numFmtId="0" fontId="0" fillId="0" borderId="0" xfId="0" applyBorder="1">
      <alignment vertical="center"/>
    </xf>
    <xf numFmtId="165" fontId="0" fillId="0" borderId="0" xfId="0" applyNumberFormat="1">
      <alignment vertical="center"/>
    </xf>
    <xf numFmtId="0" fontId="4" fillId="0" borderId="0" xfId="0" applyFont="1">
      <alignment vertical="center"/>
    </xf>
    <xf numFmtId="1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/>
    </xf>
    <xf numFmtId="1" fontId="5" fillId="0" borderId="3" xfId="1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3" fillId="0" borderId="0" xfId="0" applyFont="1" applyBorder="1">
      <alignment vertical="center"/>
    </xf>
    <xf numFmtId="0" fontId="7" fillId="0" borderId="0" xfId="0" applyFo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65" fontId="9" fillId="0" borderId="7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165" fontId="10" fillId="0" borderId="9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9" xfId="0" applyNumberFormat="1" applyFont="1" applyFill="1" applyBorder="1" applyAlignment="1">
      <alignment horizontal="center" vertical="center" wrapText="1"/>
    </xf>
    <xf numFmtId="1" fontId="11" fillId="0" borderId="9" xfId="1" applyNumberFormat="1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64" fontId="11" fillId="0" borderId="9" xfId="1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indent="1"/>
    </xf>
    <xf numFmtId="1" fontId="11" fillId="0" borderId="0" xfId="1" applyNumberFormat="1" applyFont="1" applyFill="1" applyBorder="1" applyAlignment="1">
      <alignment horizontal="center" vertical="center" wrapText="1"/>
    </xf>
    <xf numFmtId="165" fontId="11" fillId="0" borderId="9" xfId="1" applyNumberFormat="1" applyFont="1" applyFill="1" applyBorder="1" applyAlignment="1">
      <alignment horizontal="center" vertical="center" wrapText="1"/>
    </xf>
    <xf numFmtId="0" fontId="11" fillId="0" borderId="3" xfId="0" applyNumberFormat="1" applyFont="1" applyBorder="1" applyAlignment="1">
      <alignment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Fill="1" applyBorder="1" applyAlignment="1">
      <alignment horizontal="center" vertical="center" wrapText="1"/>
    </xf>
    <xf numFmtId="1" fontId="11" fillId="0" borderId="11" xfId="1" applyNumberFormat="1" applyFont="1" applyFill="1" applyBorder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1" fontId="11" fillId="0" borderId="3" xfId="1" applyNumberFormat="1" applyFont="1" applyFill="1" applyBorder="1" applyAlignment="1">
      <alignment horizontal="center" vertical="center" wrapText="1"/>
    </xf>
    <xf numFmtId="164" fontId="11" fillId="0" borderId="11" xfId="1" applyNumberFormat="1" applyFont="1" applyFill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11" fillId="0" borderId="3" xfId="0" applyNumberFormat="1" applyFont="1" applyBorder="1" applyAlignment="1">
      <alignment horizontal="left" vertical="center" indent="1"/>
    </xf>
    <xf numFmtId="1" fontId="11" fillId="0" borderId="4" xfId="1" applyNumberFormat="1" applyFont="1" applyFill="1" applyBorder="1" applyAlignment="1">
      <alignment horizontal="center" vertical="center" wrapText="1"/>
    </xf>
    <xf numFmtId="165" fontId="11" fillId="0" borderId="11" xfId="1" applyNumberFormat="1" applyFont="1" applyFill="1" applyBorder="1" applyAlignment="1">
      <alignment horizontal="center" vertical="center" wrapText="1"/>
    </xf>
    <xf numFmtId="1" fontId="7" fillId="0" borderId="0" xfId="0" applyNumberFormat="1" applyFont="1" applyBorder="1">
      <alignment vertical="center"/>
    </xf>
    <xf numFmtId="0" fontId="7" fillId="0" borderId="0" xfId="0" applyFont="1" applyBorder="1">
      <alignment vertical="center"/>
    </xf>
    <xf numFmtId="0" fontId="11" fillId="0" borderId="1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indent="1"/>
    </xf>
    <xf numFmtId="165" fontId="11" fillId="0" borderId="9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164" fontId="12" fillId="2" borderId="11" xfId="1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indent="1"/>
    </xf>
    <xf numFmtId="0" fontId="12" fillId="2" borderId="3" xfId="0" applyFont="1" applyFill="1" applyBorder="1" applyAlignment="1">
      <alignment horizontal="center" vertical="center" wrapText="1"/>
    </xf>
    <xf numFmtId="165" fontId="12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0" xfId="0" applyFont="1" applyAlignment="1">
      <alignment vertical="center"/>
    </xf>
    <xf numFmtId="0" fontId="11" fillId="0" borderId="1" xfId="0" applyNumberFormat="1" applyFont="1" applyFill="1" applyBorder="1" applyAlignment="1">
      <alignment vertical="center"/>
    </xf>
    <xf numFmtId="1" fontId="11" fillId="0" borderId="9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vertical="center"/>
    </xf>
    <xf numFmtId="1" fontId="11" fillId="0" borderId="1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65" fontId="12" fillId="0" borderId="7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1" fillId="0" borderId="0" xfId="0" applyFont="1" applyFill="1">
      <alignment vertical="center"/>
    </xf>
    <xf numFmtId="0" fontId="11" fillId="0" borderId="4" xfId="0" applyFont="1" applyBorder="1">
      <alignment vertical="center"/>
    </xf>
    <xf numFmtId="0" fontId="11" fillId="0" borderId="4" xfId="0" applyFont="1" applyFill="1" applyBorder="1">
      <alignment vertical="center"/>
    </xf>
    <xf numFmtId="0" fontId="11" fillId="0" borderId="0" xfId="0" applyFont="1" applyBorder="1">
      <alignment vertical="center"/>
    </xf>
    <xf numFmtId="0" fontId="11" fillId="0" borderId="0" xfId="0" applyFont="1" applyFill="1" applyBorder="1">
      <alignment vertical="center"/>
    </xf>
    <xf numFmtId="0" fontId="12" fillId="2" borderId="11" xfId="0" applyFont="1" applyFill="1" applyBorder="1" applyAlignment="1">
      <alignment vertical="center"/>
    </xf>
    <xf numFmtId="1" fontId="12" fillId="2" borderId="11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>
      <alignment vertical="center"/>
    </xf>
    <xf numFmtId="0" fontId="7" fillId="0" borderId="9" xfId="0" applyFont="1" applyBorder="1" applyAlignme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0" fillId="0" borderId="4" xfId="0" applyBorder="1" applyAlignment="1"/>
    <xf numFmtId="0" fontId="6" fillId="0" borderId="4" xfId="0" applyFont="1" applyBorder="1" applyAlignment="1"/>
    <xf numFmtId="0" fontId="6" fillId="0" borderId="0" xfId="0" applyFont="1" applyBorder="1" applyAlignment="1"/>
    <xf numFmtId="0" fontId="0" fillId="0" borderId="0" xfId="0" applyBorder="1" applyAlignment="1"/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E100"/>
  <sheetViews>
    <sheetView showGridLines="0" tabSelected="1" workbookViewId="0">
      <selection activeCell="N19" sqref="N19:O19"/>
    </sheetView>
  </sheetViews>
  <sheetFormatPr baseColWidth="10" defaultRowHeight="12.75" x14ac:dyDescent="0.2"/>
  <cols>
    <col min="1" max="1" width="18.5703125" style="7" customWidth="1"/>
    <col min="2" max="2" width="9.140625" customWidth="1"/>
    <col min="3" max="9" width="6.140625" customWidth="1"/>
    <col min="10" max="11" width="8.140625" customWidth="1"/>
    <col min="13" max="13" width="20.28515625" bestFit="1" customWidth="1"/>
    <col min="14" max="14" width="8.5703125" customWidth="1"/>
    <col min="15" max="15" width="11.140625" customWidth="1"/>
    <col min="17" max="17" width="20" style="7" bestFit="1" customWidth="1"/>
    <col min="18" max="18" width="9.140625" customWidth="1"/>
    <col min="19" max="23" width="8.5703125" customWidth="1"/>
    <col min="24" max="24" width="8.5703125" style="2" customWidth="1"/>
  </cols>
  <sheetData>
    <row r="1" spans="1:31" x14ac:dyDescent="0.2">
      <c r="A1" s="7" t="s">
        <v>18</v>
      </c>
    </row>
    <row r="2" spans="1:31" s="71" customFormat="1" ht="35.25" customHeight="1" x14ac:dyDescent="0.2">
      <c r="A2" s="111" t="s">
        <v>0</v>
      </c>
      <c r="B2" s="113" t="s">
        <v>1</v>
      </c>
      <c r="C2" s="104" t="s">
        <v>2</v>
      </c>
      <c r="D2" s="105"/>
      <c r="E2" s="105"/>
      <c r="F2" s="104" t="s">
        <v>3</v>
      </c>
      <c r="G2" s="105"/>
      <c r="H2" s="105"/>
      <c r="I2" s="106"/>
      <c r="J2" s="104" t="s">
        <v>4</v>
      </c>
      <c r="K2" s="106"/>
      <c r="M2" s="109" t="s">
        <v>0</v>
      </c>
      <c r="N2" s="104" t="s">
        <v>5</v>
      </c>
      <c r="O2" s="106"/>
      <c r="Q2" s="111" t="s">
        <v>0</v>
      </c>
      <c r="R2" s="113" t="s">
        <v>1</v>
      </c>
      <c r="S2" s="104" t="s">
        <v>6</v>
      </c>
      <c r="T2" s="105"/>
      <c r="U2" s="105"/>
      <c r="V2" s="106"/>
      <c r="W2" s="72"/>
      <c r="X2" s="73"/>
    </row>
    <row r="3" spans="1:31" s="76" customFormat="1" ht="12" x14ac:dyDescent="0.2">
      <c r="A3" s="112"/>
      <c r="B3" s="114"/>
      <c r="C3" s="74" t="s">
        <v>7</v>
      </c>
      <c r="D3" s="75" t="s">
        <v>8</v>
      </c>
      <c r="E3" s="75" t="s">
        <v>9</v>
      </c>
      <c r="F3" s="74" t="s">
        <v>10</v>
      </c>
      <c r="G3" s="75" t="s">
        <v>11</v>
      </c>
      <c r="H3" s="75" t="s">
        <v>12</v>
      </c>
      <c r="I3" s="75" t="s">
        <v>13</v>
      </c>
      <c r="J3" s="74" t="s">
        <v>14</v>
      </c>
      <c r="K3" s="74" t="s">
        <v>15</v>
      </c>
      <c r="M3" s="110"/>
      <c r="N3" s="74" t="s">
        <v>14</v>
      </c>
      <c r="O3" s="74" t="s">
        <v>15</v>
      </c>
      <c r="Q3" s="112"/>
      <c r="R3" s="114"/>
      <c r="S3" s="75" t="str">
        <f>F3</f>
        <v>FDP</v>
      </c>
      <c r="T3" s="75" t="str">
        <f>G3</f>
        <v>SP/GB</v>
      </c>
      <c r="U3" s="75" t="str">
        <f>H3</f>
        <v>SVP</v>
      </c>
      <c r="V3" s="75" t="str">
        <f>I3</f>
        <v>FL</v>
      </c>
      <c r="W3" s="75" t="s">
        <v>9</v>
      </c>
      <c r="X3" s="77" t="s">
        <v>16</v>
      </c>
    </row>
    <row r="4" spans="1:31" s="71" customFormat="1" ht="12" x14ac:dyDescent="0.2">
      <c r="A4" s="78"/>
      <c r="B4" s="79"/>
      <c r="C4" s="80"/>
      <c r="D4" s="80"/>
      <c r="E4" s="54"/>
      <c r="F4" s="53"/>
      <c r="G4" s="55"/>
      <c r="H4" s="55"/>
      <c r="I4" s="55"/>
      <c r="J4" s="53"/>
      <c r="K4" s="53"/>
      <c r="M4" s="81"/>
      <c r="N4" s="53"/>
      <c r="O4" s="53"/>
      <c r="Q4" s="78"/>
      <c r="R4" s="79"/>
      <c r="S4" s="80"/>
      <c r="T4" s="54"/>
      <c r="U4" s="80"/>
      <c r="V4" s="55"/>
      <c r="W4" s="55"/>
      <c r="X4" s="57"/>
    </row>
    <row r="5" spans="1:31" s="71" customFormat="1" ht="12" x14ac:dyDescent="0.2">
      <c r="A5" s="26" t="s">
        <v>20</v>
      </c>
      <c r="B5" s="27">
        <f t="shared" ref="B5:B12" si="0">E5+J5</f>
        <v>1974</v>
      </c>
      <c r="C5" s="28">
        <v>502</v>
      </c>
      <c r="D5" s="29">
        <v>600</v>
      </c>
      <c r="E5" s="30">
        <f t="shared" ref="E5:E12" si="1">SUM(C5:D5)</f>
        <v>1102</v>
      </c>
      <c r="F5" s="28">
        <v>262</v>
      </c>
      <c r="G5" s="31">
        <v>156</v>
      </c>
      <c r="H5" s="32">
        <v>58</v>
      </c>
      <c r="I5" s="32">
        <v>396</v>
      </c>
      <c r="J5" s="28">
        <f t="shared" ref="J5:J12" si="2">SUM(F5:I5)</f>
        <v>872</v>
      </c>
      <c r="K5" s="33">
        <f t="shared" ref="K5:K12" si="3">J5/B5</f>
        <v>0.44174265450861194</v>
      </c>
      <c r="M5" s="34" t="str">
        <f t="shared" ref="M5:M12" si="4">A5</f>
        <v>Huber Céline</v>
      </c>
      <c r="N5" s="28">
        <f t="shared" ref="N5:N12" si="5">W5</f>
        <v>594</v>
      </c>
      <c r="O5" s="33">
        <f t="shared" ref="O5:O12" si="6">N5/B5</f>
        <v>0.30091185410334348</v>
      </c>
      <c r="P5" s="82"/>
      <c r="Q5" s="67" t="str">
        <f t="shared" ref="Q5:R12" si="7">A5</f>
        <v>Huber Céline</v>
      </c>
      <c r="R5" s="68">
        <f t="shared" si="7"/>
        <v>1974</v>
      </c>
      <c r="S5" s="29">
        <v>208</v>
      </c>
      <c r="T5" s="35">
        <v>100</v>
      </c>
      <c r="U5" s="28">
        <v>34</v>
      </c>
      <c r="V5" s="32">
        <v>252</v>
      </c>
      <c r="W5" s="31">
        <f t="shared" ref="W5:W12" si="8">SUM(S5:V5)</f>
        <v>594</v>
      </c>
      <c r="X5" s="36">
        <f t="shared" ref="X5:X12" si="9">W5/R5*100</f>
        <v>30.091185410334347</v>
      </c>
    </row>
    <row r="6" spans="1:31" s="71" customFormat="1" ht="12" x14ac:dyDescent="0.2">
      <c r="A6" s="26" t="s">
        <v>33</v>
      </c>
      <c r="B6" s="27">
        <f t="shared" si="0"/>
        <v>1641</v>
      </c>
      <c r="C6" s="28">
        <f t="shared" ref="C6:C11" si="10">C5</f>
        <v>502</v>
      </c>
      <c r="D6" s="29">
        <v>550</v>
      </c>
      <c r="E6" s="30">
        <f t="shared" si="1"/>
        <v>1052</v>
      </c>
      <c r="F6" s="28">
        <v>137</v>
      </c>
      <c r="G6" s="31">
        <v>112</v>
      </c>
      <c r="H6" s="32">
        <v>38</v>
      </c>
      <c r="I6" s="32">
        <v>302</v>
      </c>
      <c r="J6" s="28">
        <f t="shared" si="2"/>
        <v>589</v>
      </c>
      <c r="K6" s="33">
        <f t="shared" si="3"/>
        <v>0.35892748324192564</v>
      </c>
      <c r="M6" s="34" t="str">
        <f t="shared" si="4"/>
        <v>Arnold Michael</v>
      </c>
      <c r="N6" s="28">
        <f t="shared" si="5"/>
        <v>308</v>
      </c>
      <c r="O6" s="33">
        <f t="shared" si="6"/>
        <v>0.18769043266301036</v>
      </c>
      <c r="P6" s="82"/>
      <c r="Q6" s="67" t="str">
        <f t="shared" si="7"/>
        <v>Arnold Michael</v>
      </c>
      <c r="R6" s="68">
        <f t="shared" si="7"/>
        <v>1641</v>
      </c>
      <c r="S6" s="29">
        <v>78</v>
      </c>
      <c r="T6" s="35">
        <v>72</v>
      </c>
      <c r="U6" s="28">
        <v>20</v>
      </c>
      <c r="V6" s="32">
        <v>138</v>
      </c>
      <c r="W6" s="31">
        <f t="shared" si="8"/>
        <v>308</v>
      </c>
      <c r="X6" s="36">
        <f t="shared" si="9"/>
        <v>18.769043266301036</v>
      </c>
    </row>
    <row r="7" spans="1:31" s="71" customFormat="1" ht="12" x14ac:dyDescent="0.2">
      <c r="A7" s="26" t="s">
        <v>28</v>
      </c>
      <c r="B7" s="27">
        <f t="shared" si="0"/>
        <v>1390</v>
      </c>
      <c r="C7" s="28">
        <f t="shared" si="10"/>
        <v>502</v>
      </c>
      <c r="D7" s="29">
        <v>492</v>
      </c>
      <c r="E7" s="30">
        <f t="shared" si="1"/>
        <v>994</v>
      </c>
      <c r="F7" s="28">
        <v>90</v>
      </c>
      <c r="G7" s="31">
        <v>59</v>
      </c>
      <c r="H7" s="32">
        <v>29</v>
      </c>
      <c r="I7" s="32">
        <v>218</v>
      </c>
      <c r="J7" s="28">
        <f t="shared" si="2"/>
        <v>396</v>
      </c>
      <c r="K7" s="33">
        <f t="shared" si="3"/>
        <v>0.28489208633093527</v>
      </c>
      <c r="M7" s="34" t="str">
        <f t="shared" si="4"/>
        <v xml:space="preserve">Gisler Kurt </v>
      </c>
      <c r="N7" s="28">
        <f t="shared" si="5"/>
        <v>182</v>
      </c>
      <c r="O7" s="33">
        <f t="shared" si="6"/>
        <v>0.13093525179856116</v>
      </c>
      <c r="P7" s="82"/>
      <c r="Q7" s="67" t="str">
        <f t="shared" si="7"/>
        <v xml:space="preserve">Gisler Kurt </v>
      </c>
      <c r="R7" s="68">
        <f t="shared" si="7"/>
        <v>1390</v>
      </c>
      <c r="S7" s="29">
        <v>52</v>
      </c>
      <c r="T7" s="35">
        <v>32</v>
      </c>
      <c r="U7" s="28">
        <v>16</v>
      </c>
      <c r="V7" s="32">
        <v>82</v>
      </c>
      <c r="W7" s="31">
        <f t="shared" si="8"/>
        <v>182</v>
      </c>
      <c r="X7" s="36">
        <f t="shared" si="9"/>
        <v>13.093525179856117</v>
      </c>
    </row>
    <row r="8" spans="1:31" s="71" customFormat="1" ht="12" x14ac:dyDescent="0.2">
      <c r="A8" s="26" t="s">
        <v>29</v>
      </c>
      <c r="B8" s="27">
        <f t="shared" si="0"/>
        <v>1347</v>
      </c>
      <c r="C8" s="28">
        <f t="shared" si="10"/>
        <v>502</v>
      </c>
      <c r="D8" s="29">
        <v>436</v>
      </c>
      <c r="E8" s="30">
        <f t="shared" si="1"/>
        <v>938</v>
      </c>
      <c r="F8" s="28">
        <v>63</v>
      </c>
      <c r="G8" s="31">
        <v>82</v>
      </c>
      <c r="H8" s="32">
        <v>34</v>
      </c>
      <c r="I8" s="32">
        <v>230</v>
      </c>
      <c r="J8" s="28">
        <f t="shared" si="2"/>
        <v>409</v>
      </c>
      <c r="K8" s="33">
        <f t="shared" si="3"/>
        <v>0.30363771343726798</v>
      </c>
      <c r="M8" s="34" t="str">
        <f t="shared" si="4"/>
        <v xml:space="preserve">Keusch Rafael </v>
      </c>
      <c r="N8" s="28">
        <f t="shared" si="5"/>
        <v>202</v>
      </c>
      <c r="O8" s="33">
        <f t="shared" si="6"/>
        <v>0.14996288047512993</v>
      </c>
      <c r="P8" s="82"/>
      <c r="Q8" s="67" t="str">
        <f t="shared" si="7"/>
        <v xml:space="preserve">Keusch Rafael </v>
      </c>
      <c r="R8" s="68">
        <f t="shared" si="7"/>
        <v>1347</v>
      </c>
      <c r="S8" s="29">
        <v>34</v>
      </c>
      <c r="T8" s="35">
        <v>56</v>
      </c>
      <c r="U8" s="28">
        <v>16</v>
      </c>
      <c r="V8" s="32">
        <v>96</v>
      </c>
      <c r="W8" s="31">
        <f t="shared" si="8"/>
        <v>202</v>
      </c>
      <c r="X8" s="36">
        <f t="shared" si="9"/>
        <v>14.996288047512992</v>
      </c>
    </row>
    <row r="9" spans="1:31" s="83" customFormat="1" ht="12" x14ac:dyDescent="0.2">
      <c r="A9" s="37" t="s">
        <v>23</v>
      </c>
      <c r="B9" s="38">
        <f t="shared" si="0"/>
        <v>1307</v>
      </c>
      <c r="C9" s="39">
        <f t="shared" si="10"/>
        <v>502</v>
      </c>
      <c r="D9" s="40">
        <v>443</v>
      </c>
      <c r="E9" s="41">
        <f t="shared" si="1"/>
        <v>945</v>
      </c>
      <c r="F9" s="39">
        <v>80</v>
      </c>
      <c r="G9" s="42">
        <v>75</v>
      </c>
      <c r="H9" s="43">
        <v>22</v>
      </c>
      <c r="I9" s="43">
        <v>185</v>
      </c>
      <c r="J9" s="39">
        <f t="shared" si="2"/>
        <v>362</v>
      </c>
      <c r="K9" s="44">
        <f t="shared" si="3"/>
        <v>0.27697016067329761</v>
      </c>
      <c r="M9" s="46" t="str">
        <f t="shared" si="4"/>
        <v>Gisler-Bissig Lea</v>
      </c>
      <c r="N9" s="39">
        <f t="shared" si="5"/>
        <v>206</v>
      </c>
      <c r="O9" s="44">
        <f t="shared" si="6"/>
        <v>0.15761285386381024</v>
      </c>
      <c r="P9" s="84"/>
      <c r="Q9" s="69" t="str">
        <f t="shared" si="7"/>
        <v>Gisler-Bissig Lea</v>
      </c>
      <c r="R9" s="70">
        <f t="shared" si="7"/>
        <v>1307</v>
      </c>
      <c r="S9" s="40">
        <v>54</v>
      </c>
      <c r="T9" s="47">
        <v>46</v>
      </c>
      <c r="U9" s="39">
        <v>10</v>
      </c>
      <c r="V9" s="43">
        <v>96</v>
      </c>
      <c r="W9" s="42">
        <f t="shared" si="8"/>
        <v>206</v>
      </c>
      <c r="X9" s="48">
        <f t="shared" si="9"/>
        <v>15.761285386381024</v>
      </c>
    </row>
    <row r="10" spans="1:31" s="71" customFormat="1" ht="12" x14ac:dyDescent="0.2">
      <c r="A10" s="26" t="s">
        <v>30</v>
      </c>
      <c r="B10" s="27">
        <f t="shared" si="0"/>
        <v>1243</v>
      </c>
      <c r="C10" s="28">
        <f t="shared" si="10"/>
        <v>502</v>
      </c>
      <c r="D10" s="29">
        <v>379</v>
      </c>
      <c r="E10" s="30">
        <f t="shared" si="1"/>
        <v>881</v>
      </c>
      <c r="F10" s="28">
        <v>71</v>
      </c>
      <c r="G10" s="31">
        <v>82</v>
      </c>
      <c r="H10" s="32">
        <v>8</v>
      </c>
      <c r="I10" s="32">
        <v>201</v>
      </c>
      <c r="J10" s="28">
        <f t="shared" si="2"/>
        <v>362</v>
      </c>
      <c r="K10" s="33">
        <f t="shared" si="3"/>
        <v>0.29123089300080451</v>
      </c>
      <c r="L10" s="85"/>
      <c r="M10" s="34" t="str">
        <f t="shared" si="4"/>
        <v xml:space="preserve">Gisler-Jauch Regula </v>
      </c>
      <c r="N10" s="28">
        <f t="shared" si="5"/>
        <v>206</v>
      </c>
      <c r="O10" s="33">
        <f t="shared" si="6"/>
        <v>0.16572807723250202</v>
      </c>
      <c r="P10" s="86"/>
      <c r="Q10" s="67" t="str">
        <f t="shared" si="7"/>
        <v xml:space="preserve">Gisler-Jauch Regula </v>
      </c>
      <c r="R10" s="68">
        <f t="shared" si="7"/>
        <v>1243</v>
      </c>
      <c r="S10" s="29">
        <v>44</v>
      </c>
      <c r="T10" s="35">
        <v>48</v>
      </c>
      <c r="U10" s="28">
        <v>4</v>
      </c>
      <c r="V10" s="32">
        <v>110</v>
      </c>
      <c r="W10" s="31">
        <f t="shared" si="8"/>
        <v>206</v>
      </c>
      <c r="X10" s="36">
        <f t="shared" si="9"/>
        <v>16.5728077232502</v>
      </c>
      <c r="Y10" s="85"/>
      <c r="Z10" s="85"/>
      <c r="AA10" s="85"/>
      <c r="AB10" s="85"/>
      <c r="AC10" s="85"/>
      <c r="AD10" s="85"/>
      <c r="AE10" s="85"/>
    </row>
    <row r="11" spans="1:31" s="71" customFormat="1" ht="12" x14ac:dyDescent="0.2">
      <c r="A11" s="26" t="s">
        <v>31</v>
      </c>
      <c r="B11" s="27">
        <f t="shared" si="0"/>
        <v>1022</v>
      </c>
      <c r="C11" s="28">
        <f t="shared" si="10"/>
        <v>502</v>
      </c>
      <c r="D11" s="29">
        <v>292</v>
      </c>
      <c r="E11" s="30">
        <f t="shared" si="1"/>
        <v>794</v>
      </c>
      <c r="F11" s="28">
        <v>43</v>
      </c>
      <c r="G11" s="31">
        <v>42</v>
      </c>
      <c r="H11" s="32">
        <v>17</v>
      </c>
      <c r="I11" s="32">
        <v>126</v>
      </c>
      <c r="J11" s="28">
        <f t="shared" si="2"/>
        <v>228</v>
      </c>
      <c r="K11" s="33">
        <f t="shared" si="3"/>
        <v>0.22309197651663404</v>
      </c>
      <c r="L11" s="85"/>
      <c r="M11" s="34" t="str">
        <f t="shared" si="4"/>
        <v>Schilter Tobias</v>
      </c>
      <c r="N11" s="28">
        <f t="shared" si="5"/>
        <v>120</v>
      </c>
      <c r="O11" s="33">
        <f t="shared" si="6"/>
        <v>0.11741682974559686</v>
      </c>
      <c r="P11" s="86"/>
      <c r="Q11" s="67" t="str">
        <f t="shared" si="7"/>
        <v>Schilter Tobias</v>
      </c>
      <c r="R11" s="68">
        <f t="shared" si="7"/>
        <v>1022</v>
      </c>
      <c r="S11" s="29">
        <v>26</v>
      </c>
      <c r="T11" s="35">
        <v>20</v>
      </c>
      <c r="U11" s="28">
        <v>12</v>
      </c>
      <c r="V11" s="32">
        <v>62</v>
      </c>
      <c r="W11" s="31">
        <f t="shared" si="8"/>
        <v>120</v>
      </c>
      <c r="X11" s="36">
        <f t="shared" si="9"/>
        <v>11.741682974559687</v>
      </c>
      <c r="Y11" s="85"/>
      <c r="Z11" s="85"/>
      <c r="AA11" s="85"/>
      <c r="AB11" s="85"/>
      <c r="AC11" s="85"/>
      <c r="AD11" s="85"/>
    </row>
    <row r="12" spans="1:31" s="71" customFormat="1" ht="12" x14ac:dyDescent="0.2">
      <c r="A12" s="26" t="s">
        <v>32</v>
      </c>
      <c r="B12" s="27">
        <f t="shared" si="0"/>
        <v>759</v>
      </c>
      <c r="C12" s="28">
        <f>C11/2</f>
        <v>251</v>
      </c>
      <c r="D12" s="29">
        <v>234</v>
      </c>
      <c r="E12" s="30">
        <f t="shared" si="1"/>
        <v>485</v>
      </c>
      <c r="F12" s="28">
        <v>73</v>
      </c>
      <c r="G12" s="31">
        <v>31</v>
      </c>
      <c r="H12" s="32">
        <v>27</v>
      </c>
      <c r="I12" s="32">
        <v>143</v>
      </c>
      <c r="J12" s="28">
        <f t="shared" si="2"/>
        <v>274</v>
      </c>
      <c r="K12" s="33">
        <f t="shared" si="3"/>
        <v>0.36100131752305664</v>
      </c>
      <c r="L12" s="85"/>
      <c r="M12" s="34" t="str">
        <f t="shared" si="4"/>
        <v>Planzer Stefan</v>
      </c>
      <c r="N12" s="28">
        <f t="shared" si="5"/>
        <v>144</v>
      </c>
      <c r="O12" s="33">
        <f t="shared" si="6"/>
        <v>0.18972332015810275</v>
      </c>
      <c r="P12" s="86"/>
      <c r="Q12" s="67" t="str">
        <f t="shared" si="7"/>
        <v>Planzer Stefan</v>
      </c>
      <c r="R12" s="68">
        <f t="shared" si="7"/>
        <v>759</v>
      </c>
      <c r="S12" s="29">
        <v>44</v>
      </c>
      <c r="T12" s="35">
        <v>16</v>
      </c>
      <c r="U12" s="28">
        <v>20</v>
      </c>
      <c r="V12" s="32">
        <v>64</v>
      </c>
      <c r="W12" s="31">
        <f t="shared" si="8"/>
        <v>144</v>
      </c>
      <c r="X12" s="36">
        <f t="shared" si="9"/>
        <v>18.972332015810274</v>
      </c>
    </row>
    <row r="13" spans="1:31" s="71" customFormat="1" ht="12" x14ac:dyDescent="0.2">
      <c r="A13" s="51"/>
      <c r="B13" s="52"/>
      <c r="C13" s="53"/>
      <c r="D13" s="53"/>
      <c r="E13" s="54"/>
      <c r="F13" s="53"/>
      <c r="G13" s="55"/>
      <c r="H13" s="55"/>
      <c r="I13" s="55"/>
      <c r="J13" s="53"/>
      <c r="K13" s="53"/>
      <c r="M13" s="56"/>
      <c r="N13" s="53"/>
      <c r="O13" s="53"/>
      <c r="Q13" s="51"/>
      <c r="R13" s="52"/>
      <c r="S13" s="53"/>
      <c r="T13" s="54"/>
      <c r="U13" s="53"/>
      <c r="V13" s="55"/>
      <c r="W13" s="55"/>
      <c r="X13" s="57"/>
    </row>
    <row r="14" spans="1:31" s="71" customFormat="1" ht="12" x14ac:dyDescent="0.2">
      <c r="A14" s="58" t="s">
        <v>9</v>
      </c>
      <c r="B14" s="59">
        <f>SUM(B5:B12)</f>
        <v>10683</v>
      </c>
      <c r="C14" s="60">
        <f t="shared" ref="C14:J14" si="11">SUM(C5:C13)</f>
        <v>3765</v>
      </c>
      <c r="D14" s="60">
        <f t="shared" si="11"/>
        <v>3426</v>
      </c>
      <c r="E14" s="60">
        <f t="shared" si="11"/>
        <v>7191</v>
      </c>
      <c r="F14" s="60">
        <f t="shared" si="11"/>
        <v>819</v>
      </c>
      <c r="G14" s="60">
        <f t="shared" si="11"/>
        <v>639</v>
      </c>
      <c r="H14" s="60">
        <f t="shared" si="11"/>
        <v>233</v>
      </c>
      <c r="I14" s="60">
        <f t="shared" si="11"/>
        <v>1801</v>
      </c>
      <c r="J14" s="60">
        <f t="shared" si="11"/>
        <v>3492</v>
      </c>
      <c r="K14" s="61">
        <f>J14/(B14)</f>
        <v>0.32687447346251053</v>
      </c>
      <c r="M14" s="62" t="s">
        <v>9</v>
      </c>
      <c r="N14" s="60">
        <f>SUM(N5:N13)</f>
        <v>1962</v>
      </c>
      <c r="O14" s="61">
        <f>N14/B14</f>
        <v>0.18365627632687448</v>
      </c>
      <c r="Q14" s="58" t="s">
        <v>9</v>
      </c>
      <c r="R14" s="59">
        <f>SUM(R5:R12)</f>
        <v>10683</v>
      </c>
      <c r="S14" s="60">
        <f t="shared" ref="S14:W14" si="12">SUM(S5:S13)</f>
        <v>540</v>
      </c>
      <c r="T14" s="60">
        <f t="shared" si="12"/>
        <v>390</v>
      </c>
      <c r="U14" s="60">
        <f t="shared" si="12"/>
        <v>132</v>
      </c>
      <c r="V14" s="60">
        <f t="shared" si="12"/>
        <v>900</v>
      </c>
      <c r="W14" s="60">
        <f t="shared" si="12"/>
        <v>1962</v>
      </c>
      <c r="X14" s="64">
        <f>W14/R14*100</f>
        <v>18.365627632687449</v>
      </c>
    </row>
    <row r="16" spans="1:31" x14ac:dyDescent="0.2">
      <c r="F16" s="5" t="s">
        <v>17</v>
      </c>
      <c r="G16" s="10"/>
      <c r="H16" s="1"/>
      <c r="I16" s="6"/>
    </row>
    <row r="18" spans="1:31" x14ac:dyDescent="0.2">
      <c r="A18" s="7" t="s">
        <v>10</v>
      </c>
    </row>
    <row r="19" spans="1:31" ht="35.25" customHeight="1" x14ac:dyDescent="0.2">
      <c r="A19" s="97" t="s">
        <v>0</v>
      </c>
      <c r="B19" s="99" t="s">
        <v>1</v>
      </c>
      <c r="C19" s="101" t="s">
        <v>2</v>
      </c>
      <c r="D19" s="102"/>
      <c r="E19" s="102"/>
      <c r="F19" s="101" t="s">
        <v>3</v>
      </c>
      <c r="G19" s="102"/>
      <c r="H19" s="102"/>
      <c r="I19" s="103"/>
      <c r="J19" s="101" t="s">
        <v>4</v>
      </c>
      <c r="K19" s="103"/>
      <c r="L19" s="11"/>
      <c r="M19" s="107" t="s">
        <v>0</v>
      </c>
      <c r="N19" s="104" t="s">
        <v>5</v>
      </c>
      <c r="O19" s="106"/>
      <c r="P19" s="11"/>
      <c r="Q19" s="97" t="s">
        <v>0</v>
      </c>
      <c r="R19" s="99" t="s">
        <v>1</v>
      </c>
      <c r="S19" s="104" t="s">
        <v>6</v>
      </c>
      <c r="T19" s="105"/>
      <c r="U19" s="105"/>
      <c r="V19" s="106"/>
      <c r="W19" s="12"/>
      <c r="X19" s="13"/>
    </row>
    <row r="20" spans="1:31" s="3" customFormat="1" x14ac:dyDescent="0.2">
      <c r="A20" s="98"/>
      <c r="B20" s="100"/>
      <c r="C20" s="14" t="s">
        <v>7</v>
      </c>
      <c r="D20" s="15" t="s">
        <v>8</v>
      </c>
      <c r="E20" s="15" t="s">
        <v>9</v>
      </c>
      <c r="F20" s="14" t="s">
        <v>18</v>
      </c>
      <c r="G20" s="15" t="s">
        <v>11</v>
      </c>
      <c r="H20" s="15" t="s">
        <v>12</v>
      </c>
      <c r="I20" s="15" t="s">
        <v>13</v>
      </c>
      <c r="J20" s="14" t="s">
        <v>14</v>
      </c>
      <c r="K20" s="14" t="s">
        <v>15</v>
      </c>
      <c r="L20" s="16"/>
      <c r="M20" s="108"/>
      <c r="N20" s="14" t="s">
        <v>14</v>
      </c>
      <c r="O20" s="14" t="s">
        <v>15</v>
      </c>
      <c r="P20" s="16"/>
      <c r="Q20" s="98"/>
      <c r="R20" s="100"/>
      <c r="S20" s="15" t="str">
        <f>F20</f>
        <v>CVP</v>
      </c>
      <c r="T20" s="15" t="str">
        <f>G20</f>
        <v>SP/GB</v>
      </c>
      <c r="U20" s="15" t="str">
        <f>H20</f>
        <v>SVP</v>
      </c>
      <c r="V20" s="15" t="str">
        <f>I20</f>
        <v>FL</v>
      </c>
      <c r="W20" s="15" t="s">
        <v>9</v>
      </c>
      <c r="X20" s="17" t="s">
        <v>16</v>
      </c>
    </row>
    <row r="21" spans="1:31" x14ac:dyDescent="0.2">
      <c r="A21" s="18"/>
      <c r="B21" s="19"/>
      <c r="C21" s="20"/>
      <c r="D21" s="20"/>
      <c r="E21" s="21"/>
      <c r="F21" s="22"/>
      <c r="G21" s="23"/>
      <c r="H21" s="23"/>
      <c r="I21" s="23"/>
      <c r="J21" s="22"/>
      <c r="K21" s="22"/>
      <c r="L21" s="11"/>
      <c r="M21" s="24"/>
      <c r="N21" s="22"/>
      <c r="O21" s="22"/>
      <c r="P21" s="11"/>
      <c r="Q21" s="18"/>
      <c r="R21" s="19"/>
      <c r="S21" s="20"/>
      <c r="T21" s="21"/>
      <c r="U21" s="20"/>
      <c r="V21" s="23"/>
      <c r="W21" s="23"/>
      <c r="X21" s="25"/>
    </row>
    <row r="22" spans="1:31" ht="12.75" customHeight="1" x14ac:dyDescent="0.2">
      <c r="A22" s="26" t="s">
        <v>19</v>
      </c>
      <c r="B22" s="27">
        <f t="shared" ref="B22:B29" si="13">E22+J22</f>
        <v>1429</v>
      </c>
      <c r="C22" s="28">
        <v>434</v>
      </c>
      <c r="D22" s="29">
        <v>471</v>
      </c>
      <c r="E22" s="30">
        <f t="shared" ref="E22:E29" si="14">SUM(C22:D22)</f>
        <v>905</v>
      </c>
      <c r="F22" s="28">
        <v>186</v>
      </c>
      <c r="G22" s="31">
        <v>45</v>
      </c>
      <c r="H22" s="28">
        <v>34</v>
      </c>
      <c r="I22" s="32">
        <v>259</v>
      </c>
      <c r="J22" s="28">
        <f t="shared" ref="J22:J29" si="15">SUM(F22:I22)</f>
        <v>524</v>
      </c>
      <c r="K22" s="33">
        <f t="shared" ref="K22:K29" si="16">J22/B22</f>
        <v>0.36668999300209937</v>
      </c>
      <c r="L22" s="50"/>
      <c r="M22" s="34" t="str">
        <f t="shared" ref="M22:M29" si="17">A22</f>
        <v>Sicher Thomas</v>
      </c>
      <c r="N22" s="28">
        <f t="shared" ref="N22:N29" si="18">W22</f>
        <v>276</v>
      </c>
      <c r="O22" s="33">
        <f t="shared" ref="O22:O29" si="19">N22/B22</f>
        <v>0.19314205738278517</v>
      </c>
      <c r="P22" s="50"/>
      <c r="Q22" s="26" t="str">
        <f t="shared" ref="Q22:R29" si="20">A22</f>
        <v>Sicher Thomas</v>
      </c>
      <c r="R22" s="27">
        <f t="shared" si="20"/>
        <v>1429</v>
      </c>
      <c r="S22" s="29">
        <v>102</v>
      </c>
      <c r="T22" s="35">
        <v>24</v>
      </c>
      <c r="U22" s="28">
        <v>18</v>
      </c>
      <c r="V22" s="32">
        <v>132</v>
      </c>
      <c r="W22" s="31">
        <f t="shared" ref="W22:W29" si="21">SUM(S22:V22)</f>
        <v>276</v>
      </c>
      <c r="X22" s="36">
        <f t="shared" ref="X22:X29" si="22">W22/R22*100</f>
        <v>19.314205738278517</v>
      </c>
      <c r="Z22" s="4"/>
      <c r="AA22" s="91"/>
      <c r="AB22" s="65"/>
      <c r="AC22" s="65"/>
      <c r="AD22" s="65"/>
    </row>
    <row r="23" spans="1:31" ht="12.75" customHeight="1" x14ac:dyDescent="0.2">
      <c r="A23" s="26" t="s">
        <v>39</v>
      </c>
      <c r="B23" s="27">
        <f t="shared" si="13"/>
        <v>1401</v>
      </c>
      <c r="C23" s="28">
        <v>434</v>
      </c>
      <c r="D23" s="29">
        <v>394</v>
      </c>
      <c r="E23" s="30">
        <f t="shared" si="14"/>
        <v>828</v>
      </c>
      <c r="F23" s="28">
        <v>157</v>
      </c>
      <c r="G23" s="31">
        <v>116</v>
      </c>
      <c r="H23" s="28">
        <v>23</v>
      </c>
      <c r="I23" s="32">
        <v>277</v>
      </c>
      <c r="J23" s="28">
        <f t="shared" si="15"/>
        <v>573</v>
      </c>
      <c r="K23" s="33">
        <f t="shared" si="16"/>
        <v>0.4089935760171306</v>
      </c>
      <c r="L23" s="11"/>
      <c r="M23" s="34" t="str">
        <f t="shared" si="17"/>
        <v xml:space="preserve">Tarelli Dorothea </v>
      </c>
      <c r="N23" s="28">
        <f t="shared" si="18"/>
        <v>368</v>
      </c>
      <c r="O23" s="33">
        <f t="shared" si="19"/>
        <v>0.26266952177016417</v>
      </c>
      <c r="P23" s="11"/>
      <c r="Q23" s="26" t="str">
        <f t="shared" si="20"/>
        <v xml:space="preserve">Tarelli Dorothea </v>
      </c>
      <c r="R23" s="27">
        <f t="shared" si="20"/>
        <v>1401</v>
      </c>
      <c r="S23" s="29">
        <v>98</v>
      </c>
      <c r="T23" s="35">
        <v>90</v>
      </c>
      <c r="U23" s="28">
        <v>12</v>
      </c>
      <c r="V23" s="32">
        <v>168</v>
      </c>
      <c r="W23" s="31">
        <f t="shared" si="21"/>
        <v>368</v>
      </c>
      <c r="X23" s="36">
        <f t="shared" si="22"/>
        <v>26.266952177016417</v>
      </c>
      <c r="Z23" s="4"/>
      <c r="AA23" s="91"/>
      <c r="AB23" s="65"/>
      <c r="AC23" s="65"/>
      <c r="AD23" s="65"/>
    </row>
    <row r="24" spans="1:31" s="9" customFormat="1" x14ac:dyDescent="0.2">
      <c r="A24" s="37" t="s">
        <v>21</v>
      </c>
      <c r="B24" s="38">
        <f t="shared" si="13"/>
        <v>1222</v>
      </c>
      <c r="C24" s="39">
        <v>434</v>
      </c>
      <c r="D24" s="40">
        <v>391</v>
      </c>
      <c r="E24" s="41">
        <f t="shared" si="14"/>
        <v>825</v>
      </c>
      <c r="F24" s="39">
        <v>104</v>
      </c>
      <c r="G24" s="42">
        <v>38</v>
      </c>
      <c r="H24" s="39">
        <v>24</v>
      </c>
      <c r="I24" s="43">
        <v>231</v>
      </c>
      <c r="J24" s="39">
        <f t="shared" si="15"/>
        <v>397</v>
      </c>
      <c r="K24" s="44">
        <f t="shared" si="16"/>
        <v>0.32487725040916532</v>
      </c>
      <c r="L24" s="45"/>
      <c r="M24" s="46" t="str">
        <f t="shared" si="17"/>
        <v>Roeleven Marco</v>
      </c>
      <c r="N24" s="39">
        <f t="shared" si="18"/>
        <v>170</v>
      </c>
      <c r="O24" s="44">
        <f t="shared" si="19"/>
        <v>0.13911620294599017</v>
      </c>
      <c r="P24" s="45"/>
      <c r="Q24" s="37" t="str">
        <f t="shared" si="20"/>
        <v>Roeleven Marco</v>
      </c>
      <c r="R24" s="38">
        <f t="shared" si="20"/>
        <v>1222</v>
      </c>
      <c r="S24" s="40">
        <v>44</v>
      </c>
      <c r="T24" s="47">
        <v>28</v>
      </c>
      <c r="U24" s="39">
        <v>6</v>
      </c>
      <c r="V24" s="43">
        <v>92</v>
      </c>
      <c r="W24" s="42">
        <f t="shared" si="21"/>
        <v>170</v>
      </c>
      <c r="X24" s="48">
        <f t="shared" si="22"/>
        <v>13.911620294599016</v>
      </c>
      <c r="Z24" s="8"/>
      <c r="AA24" s="94"/>
      <c r="AB24" s="93"/>
      <c r="AC24" s="93"/>
      <c r="AD24" s="93"/>
    </row>
    <row r="25" spans="1:31" x14ac:dyDescent="0.2">
      <c r="A25" s="26" t="s">
        <v>22</v>
      </c>
      <c r="B25" s="27">
        <f t="shared" si="13"/>
        <v>1160</v>
      </c>
      <c r="C25" s="28">
        <v>434</v>
      </c>
      <c r="D25" s="29">
        <v>396</v>
      </c>
      <c r="E25" s="30">
        <f t="shared" si="14"/>
        <v>830</v>
      </c>
      <c r="F25" s="28">
        <v>89</v>
      </c>
      <c r="G25" s="31">
        <v>34</v>
      </c>
      <c r="H25" s="28">
        <v>38</v>
      </c>
      <c r="I25" s="32">
        <v>169</v>
      </c>
      <c r="J25" s="28">
        <f t="shared" si="15"/>
        <v>330</v>
      </c>
      <c r="K25" s="33">
        <f t="shared" si="16"/>
        <v>0.28448275862068967</v>
      </c>
      <c r="L25" s="50"/>
      <c r="M25" s="34" t="str">
        <f t="shared" si="17"/>
        <v>Simmen Franz-Xaver</v>
      </c>
      <c r="N25" s="28">
        <f t="shared" si="18"/>
        <v>156</v>
      </c>
      <c r="O25" s="33">
        <f t="shared" si="19"/>
        <v>0.13448275862068965</v>
      </c>
      <c r="P25" s="50"/>
      <c r="Q25" s="26" t="str">
        <f t="shared" si="20"/>
        <v>Simmen Franz-Xaver</v>
      </c>
      <c r="R25" s="27">
        <f t="shared" si="20"/>
        <v>1160</v>
      </c>
      <c r="S25" s="29">
        <v>46</v>
      </c>
      <c r="T25" s="35">
        <v>16</v>
      </c>
      <c r="U25" s="28">
        <v>26</v>
      </c>
      <c r="V25" s="32">
        <v>68</v>
      </c>
      <c r="W25" s="31">
        <f t="shared" si="21"/>
        <v>156</v>
      </c>
      <c r="X25" s="36">
        <f t="shared" si="22"/>
        <v>13.448275862068964</v>
      </c>
      <c r="Y25" s="1"/>
      <c r="Z25" s="4"/>
      <c r="AA25" s="95"/>
      <c r="AB25" s="96"/>
      <c r="AC25" s="96"/>
      <c r="AD25" s="96"/>
      <c r="AE25" s="1"/>
    </row>
    <row r="26" spans="1:31" x14ac:dyDescent="0.2">
      <c r="A26" s="26" t="s">
        <v>43</v>
      </c>
      <c r="B26" s="27">
        <f t="shared" si="13"/>
        <v>1159</v>
      </c>
      <c r="C26" s="28">
        <v>434</v>
      </c>
      <c r="D26" s="29">
        <v>335</v>
      </c>
      <c r="E26" s="30">
        <f t="shared" si="14"/>
        <v>769</v>
      </c>
      <c r="F26" s="28">
        <v>113</v>
      </c>
      <c r="G26" s="31">
        <v>46</v>
      </c>
      <c r="H26" s="28">
        <v>32</v>
      </c>
      <c r="I26" s="32">
        <v>199</v>
      </c>
      <c r="J26" s="28">
        <f t="shared" si="15"/>
        <v>390</v>
      </c>
      <c r="K26" s="33">
        <f t="shared" si="16"/>
        <v>0.33649698015530632</v>
      </c>
      <c r="L26" s="11"/>
      <c r="M26" s="34" t="str">
        <f t="shared" si="17"/>
        <v>Unternährer Guido</v>
      </c>
      <c r="N26" s="28">
        <f t="shared" si="18"/>
        <v>214</v>
      </c>
      <c r="O26" s="33">
        <f t="shared" si="19"/>
        <v>0.18464193270060397</v>
      </c>
      <c r="P26" s="11"/>
      <c r="Q26" s="26" t="str">
        <f t="shared" si="20"/>
        <v>Unternährer Guido</v>
      </c>
      <c r="R26" s="27">
        <f t="shared" si="20"/>
        <v>1159</v>
      </c>
      <c r="S26" s="29">
        <v>62</v>
      </c>
      <c r="T26" s="35">
        <v>26</v>
      </c>
      <c r="U26" s="28">
        <v>20</v>
      </c>
      <c r="V26" s="32">
        <v>106</v>
      </c>
      <c r="W26" s="31">
        <f t="shared" si="21"/>
        <v>214</v>
      </c>
      <c r="X26" s="36">
        <f t="shared" si="22"/>
        <v>18.464193270060399</v>
      </c>
      <c r="Z26" s="4"/>
      <c r="AA26" s="91"/>
      <c r="AB26" s="65"/>
      <c r="AC26" s="65"/>
      <c r="AD26" s="65"/>
    </row>
    <row r="27" spans="1:31" ht="12.75" customHeight="1" x14ac:dyDescent="0.2">
      <c r="A27" s="51" t="s">
        <v>42</v>
      </c>
      <c r="B27" s="27">
        <f t="shared" si="13"/>
        <v>956</v>
      </c>
      <c r="C27" s="28">
        <v>434</v>
      </c>
      <c r="D27" s="29">
        <v>292</v>
      </c>
      <c r="E27" s="30">
        <f t="shared" si="14"/>
        <v>726</v>
      </c>
      <c r="F27" s="28">
        <v>56</v>
      </c>
      <c r="G27" s="31">
        <v>17</v>
      </c>
      <c r="H27" s="28">
        <v>5</v>
      </c>
      <c r="I27" s="32">
        <v>152</v>
      </c>
      <c r="J27" s="28">
        <f t="shared" si="15"/>
        <v>230</v>
      </c>
      <c r="K27" s="33">
        <f t="shared" si="16"/>
        <v>0.2405857740585774</v>
      </c>
      <c r="L27" s="11"/>
      <c r="M27" s="34" t="str">
        <f t="shared" si="17"/>
        <v>Schillig Ivo</v>
      </c>
      <c r="N27" s="28">
        <f t="shared" si="18"/>
        <v>108</v>
      </c>
      <c r="O27" s="33">
        <f t="shared" si="19"/>
        <v>0.11297071129707113</v>
      </c>
      <c r="P27" s="11"/>
      <c r="Q27" s="26" t="str">
        <f t="shared" si="20"/>
        <v>Schillig Ivo</v>
      </c>
      <c r="R27" s="27">
        <f t="shared" si="20"/>
        <v>956</v>
      </c>
      <c r="S27" s="29">
        <v>32</v>
      </c>
      <c r="T27" s="35">
        <v>6</v>
      </c>
      <c r="U27" s="28">
        <v>2</v>
      </c>
      <c r="V27" s="32">
        <v>68</v>
      </c>
      <c r="W27" s="31">
        <f t="shared" si="21"/>
        <v>108</v>
      </c>
      <c r="X27" s="36">
        <f t="shared" si="22"/>
        <v>11.297071129707113</v>
      </c>
      <c r="Z27" s="4"/>
      <c r="AA27" s="91"/>
      <c r="AB27" s="65"/>
      <c r="AC27" s="65"/>
      <c r="AD27" s="65"/>
    </row>
    <row r="28" spans="1:31" ht="12.75" customHeight="1" x14ac:dyDescent="0.2">
      <c r="A28" s="26" t="s">
        <v>41</v>
      </c>
      <c r="B28" s="27">
        <f t="shared" si="13"/>
        <v>828</v>
      </c>
      <c r="C28" s="28">
        <v>434</v>
      </c>
      <c r="D28" s="29">
        <v>196</v>
      </c>
      <c r="E28" s="30">
        <f t="shared" si="14"/>
        <v>630</v>
      </c>
      <c r="F28" s="28">
        <v>55</v>
      </c>
      <c r="G28" s="31">
        <v>48</v>
      </c>
      <c r="H28" s="28">
        <v>10</v>
      </c>
      <c r="I28" s="32">
        <v>85</v>
      </c>
      <c r="J28" s="28">
        <f t="shared" si="15"/>
        <v>198</v>
      </c>
      <c r="K28" s="33">
        <f t="shared" si="16"/>
        <v>0.2391304347826087</v>
      </c>
      <c r="L28" s="49"/>
      <c r="M28" s="34" t="str">
        <f t="shared" si="17"/>
        <v>Dittli Daniel</v>
      </c>
      <c r="N28" s="28">
        <f t="shared" si="18"/>
        <v>108</v>
      </c>
      <c r="O28" s="33">
        <f t="shared" si="19"/>
        <v>0.13043478260869565</v>
      </c>
      <c r="P28" s="50"/>
      <c r="Q28" s="26" t="str">
        <f t="shared" si="20"/>
        <v>Dittli Daniel</v>
      </c>
      <c r="R28" s="27">
        <f t="shared" si="20"/>
        <v>828</v>
      </c>
      <c r="S28" s="29">
        <v>32</v>
      </c>
      <c r="T28" s="35">
        <v>34</v>
      </c>
      <c r="U28" s="28">
        <v>6</v>
      </c>
      <c r="V28" s="32">
        <v>36</v>
      </c>
      <c r="W28" s="31">
        <f t="shared" si="21"/>
        <v>108</v>
      </c>
      <c r="X28" s="36">
        <f t="shared" si="22"/>
        <v>13.043478260869565</v>
      </c>
      <c r="Y28" s="1"/>
      <c r="Z28" s="4"/>
      <c r="AA28" s="91"/>
      <c r="AB28" s="65"/>
      <c r="AC28" s="65"/>
      <c r="AD28" s="65"/>
    </row>
    <row r="29" spans="1:31" x14ac:dyDescent="0.2">
      <c r="A29" s="26" t="s">
        <v>40</v>
      </c>
      <c r="B29" s="27">
        <f t="shared" si="13"/>
        <v>576</v>
      </c>
      <c r="C29" s="28">
        <v>217</v>
      </c>
      <c r="D29" s="29">
        <v>178</v>
      </c>
      <c r="E29" s="30">
        <f t="shared" si="14"/>
        <v>395</v>
      </c>
      <c r="F29" s="28">
        <v>49</v>
      </c>
      <c r="G29" s="31">
        <v>8</v>
      </c>
      <c r="H29" s="28">
        <v>20</v>
      </c>
      <c r="I29" s="32">
        <v>104</v>
      </c>
      <c r="J29" s="28">
        <f t="shared" si="15"/>
        <v>181</v>
      </c>
      <c r="K29" s="33">
        <f t="shared" si="16"/>
        <v>0.3142361111111111</v>
      </c>
      <c r="L29" s="11"/>
      <c r="M29" s="34" t="str">
        <f t="shared" si="17"/>
        <v xml:space="preserve">Althaus Yves </v>
      </c>
      <c r="N29" s="28">
        <f t="shared" si="18"/>
        <v>68</v>
      </c>
      <c r="O29" s="33">
        <f t="shared" si="19"/>
        <v>0.11805555555555555</v>
      </c>
      <c r="P29" s="11"/>
      <c r="Q29" s="26" t="str">
        <f t="shared" si="20"/>
        <v xml:space="preserve">Althaus Yves </v>
      </c>
      <c r="R29" s="27">
        <f t="shared" si="20"/>
        <v>576</v>
      </c>
      <c r="S29" s="29">
        <v>16</v>
      </c>
      <c r="T29" s="35">
        <v>0</v>
      </c>
      <c r="U29" s="28">
        <v>14</v>
      </c>
      <c r="V29" s="32">
        <v>38</v>
      </c>
      <c r="W29" s="31">
        <f t="shared" si="21"/>
        <v>68</v>
      </c>
      <c r="X29" s="36">
        <f t="shared" si="22"/>
        <v>11.805555555555555</v>
      </c>
      <c r="Z29" s="4"/>
      <c r="AA29" s="91"/>
      <c r="AB29" s="65"/>
      <c r="AC29" s="65"/>
      <c r="AD29" s="65"/>
    </row>
    <row r="30" spans="1:31" x14ac:dyDescent="0.2">
      <c r="A30" s="90"/>
      <c r="B30" s="52"/>
      <c r="C30" s="53"/>
      <c r="D30" s="53"/>
      <c r="E30" s="54"/>
      <c r="F30" s="53"/>
      <c r="G30" s="55"/>
      <c r="H30" s="55"/>
      <c r="I30" s="55"/>
      <c r="J30" s="53"/>
      <c r="K30" s="53"/>
      <c r="L30" s="11"/>
      <c r="M30" s="56"/>
      <c r="N30" s="53"/>
      <c r="O30" s="53"/>
      <c r="P30" s="11"/>
      <c r="Q30" s="51"/>
      <c r="R30" s="52"/>
      <c r="S30" s="53"/>
      <c r="T30" s="54"/>
      <c r="U30" s="53"/>
      <c r="V30" s="55"/>
      <c r="W30" s="55"/>
      <c r="X30" s="57"/>
      <c r="AA30" s="92"/>
    </row>
    <row r="31" spans="1:31" x14ac:dyDescent="0.2">
      <c r="A31" s="87" t="s">
        <v>9</v>
      </c>
      <c r="B31" s="59">
        <f>SUM(B22:B29)</f>
        <v>8731</v>
      </c>
      <c r="C31" s="60">
        <f t="shared" ref="C31:J31" si="23">SUM(C22:C30)</f>
        <v>3255</v>
      </c>
      <c r="D31" s="60">
        <f t="shared" si="23"/>
        <v>2653</v>
      </c>
      <c r="E31" s="60">
        <f t="shared" si="23"/>
        <v>5908</v>
      </c>
      <c r="F31" s="60">
        <f>SUM(F22:F30)</f>
        <v>809</v>
      </c>
      <c r="G31" s="60">
        <f>SUM(G22:G30)</f>
        <v>352</v>
      </c>
      <c r="H31" s="60">
        <f>SUM(H22:H30)</f>
        <v>186</v>
      </c>
      <c r="I31" s="60">
        <f>SUM(I22:I30)</f>
        <v>1476</v>
      </c>
      <c r="J31" s="60">
        <f t="shared" si="23"/>
        <v>2823</v>
      </c>
      <c r="K31" s="61">
        <f>J31/(B31)</f>
        <v>0.32333066086358953</v>
      </c>
      <c r="L31" s="11"/>
      <c r="M31" s="62" t="s">
        <v>9</v>
      </c>
      <c r="N31" s="60">
        <f>SUM(N22:N30)</f>
        <v>1468</v>
      </c>
      <c r="O31" s="61">
        <f>N31/B31</f>
        <v>0.16813652502577026</v>
      </c>
      <c r="P31" s="11"/>
      <c r="Q31" s="58" t="s">
        <v>9</v>
      </c>
      <c r="R31" s="59">
        <f>SUM(R22:R29)</f>
        <v>8731</v>
      </c>
      <c r="S31" s="60">
        <f t="shared" ref="S31:W31" si="24">SUM(S22:S30)</f>
        <v>432</v>
      </c>
      <c r="T31" s="60">
        <f t="shared" si="24"/>
        <v>224</v>
      </c>
      <c r="U31" s="60">
        <f t="shared" si="24"/>
        <v>104</v>
      </c>
      <c r="V31" s="60">
        <f t="shared" si="24"/>
        <v>708</v>
      </c>
      <c r="W31" s="60">
        <f t="shared" si="24"/>
        <v>1468</v>
      </c>
      <c r="X31" s="64">
        <f>W31/R31*100</f>
        <v>16.813652502577025</v>
      </c>
    </row>
    <row r="33" spans="1:31" ht="13.5" customHeight="1" x14ac:dyDescent="0.2"/>
    <row r="35" spans="1:31" x14ac:dyDescent="0.2">
      <c r="A35" s="66" t="s">
        <v>11</v>
      </c>
    </row>
    <row r="36" spans="1:31" ht="28.5" customHeight="1" x14ac:dyDescent="0.2">
      <c r="A36" s="97" t="s">
        <v>0</v>
      </c>
      <c r="B36" s="99" t="s">
        <v>1</v>
      </c>
      <c r="C36" s="101" t="s">
        <v>2</v>
      </c>
      <c r="D36" s="102"/>
      <c r="E36" s="103"/>
      <c r="F36" s="101" t="s">
        <v>3</v>
      </c>
      <c r="G36" s="102"/>
      <c r="H36" s="102"/>
      <c r="I36" s="103"/>
      <c r="J36" s="101" t="s">
        <v>4</v>
      </c>
      <c r="K36" s="103"/>
      <c r="L36" s="11"/>
      <c r="M36" s="107" t="s">
        <v>0</v>
      </c>
      <c r="N36" s="104" t="s">
        <v>5</v>
      </c>
      <c r="O36" s="106"/>
      <c r="P36" s="11"/>
      <c r="Q36" s="97" t="s">
        <v>0</v>
      </c>
      <c r="R36" s="99" t="s">
        <v>1</v>
      </c>
      <c r="S36" s="104" t="s">
        <v>6</v>
      </c>
      <c r="T36" s="105"/>
      <c r="U36" s="105"/>
      <c r="V36" s="106"/>
      <c r="W36" s="12"/>
      <c r="X36" s="13"/>
    </row>
    <row r="37" spans="1:31" x14ac:dyDescent="0.2">
      <c r="A37" s="98"/>
      <c r="B37" s="100"/>
      <c r="C37" s="14" t="s">
        <v>7</v>
      </c>
      <c r="D37" s="15" t="s">
        <v>8</v>
      </c>
      <c r="E37" s="15" t="s">
        <v>9</v>
      </c>
      <c r="F37" s="14" t="s">
        <v>18</v>
      </c>
      <c r="G37" s="15" t="s">
        <v>10</v>
      </c>
      <c r="H37" s="15" t="s">
        <v>12</v>
      </c>
      <c r="I37" s="15" t="s">
        <v>13</v>
      </c>
      <c r="J37" s="14" t="s">
        <v>14</v>
      </c>
      <c r="K37" s="14" t="s">
        <v>15</v>
      </c>
      <c r="L37" s="16"/>
      <c r="M37" s="108"/>
      <c r="N37" s="14" t="s">
        <v>14</v>
      </c>
      <c r="O37" s="14" t="s">
        <v>15</v>
      </c>
      <c r="P37" s="16"/>
      <c r="Q37" s="98"/>
      <c r="R37" s="100"/>
      <c r="S37" s="15" t="str">
        <f>F37</f>
        <v>CVP</v>
      </c>
      <c r="T37" s="15" t="str">
        <f>G37</f>
        <v>FDP</v>
      </c>
      <c r="U37" s="15" t="str">
        <f>H37</f>
        <v>SVP</v>
      </c>
      <c r="V37" s="15" t="str">
        <f>I37</f>
        <v>FL</v>
      </c>
      <c r="W37" s="15" t="s">
        <v>9</v>
      </c>
      <c r="X37" s="17" t="s">
        <v>16</v>
      </c>
    </row>
    <row r="38" spans="1:31" x14ac:dyDescent="0.2">
      <c r="A38" s="18"/>
      <c r="B38" s="19"/>
      <c r="C38" s="20"/>
      <c r="D38" s="20"/>
      <c r="E38" s="21"/>
      <c r="F38" s="22"/>
      <c r="G38" s="23"/>
      <c r="H38" s="23"/>
      <c r="I38" s="23"/>
      <c r="J38" s="22"/>
      <c r="K38" s="22"/>
      <c r="L38" s="11"/>
      <c r="M38" s="24"/>
      <c r="N38" s="22"/>
      <c r="O38" s="22"/>
      <c r="P38" s="11"/>
      <c r="Q38" s="18"/>
      <c r="R38" s="19"/>
      <c r="S38" s="20"/>
      <c r="T38" s="21"/>
      <c r="U38" s="20"/>
      <c r="V38" s="23"/>
      <c r="W38" s="23"/>
      <c r="X38" s="25"/>
    </row>
    <row r="39" spans="1:31" x14ac:dyDescent="0.2">
      <c r="A39" s="26" t="s">
        <v>25</v>
      </c>
      <c r="B39" s="27">
        <f t="shared" ref="B39:B47" si="25">E39+J39</f>
        <v>1853</v>
      </c>
      <c r="C39" s="28">
        <v>914</v>
      </c>
      <c r="D39" s="29">
        <v>445</v>
      </c>
      <c r="E39" s="30">
        <f t="shared" ref="E39:E47" si="26">SUM(C39:D39)</f>
        <v>1359</v>
      </c>
      <c r="F39" s="28">
        <v>162</v>
      </c>
      <c r="G39" s="31">
        <v>70</v>
      </c>
      <c r="H39" s="31">
        <v>12</v>
      </c>
      <c r="I39" s="32">
        <v>250</v>
      </c>
      <c r="J39" s="28">
        <f t="shared" ref="J39:J47" si="27">SUM(F39:I39)</f>
        <v>494</v>
      </c>
      <c r="K39" s="33">
        <f t="shared" ref="K39:K47" si="28">J39/B39</f>
        <v>0.26659471127900702</v>
      </c>
      <c r="L39" s="11"/>
      <c r="M39" s="34" t="str">
        <f t="shared" ref="M39:M47" si="29">A39</f>
        <v>Sommer Nora</v>
      </c>
      <c r="N39" s="28">
        <f t="shared" ref="N39:N47" si="30">W39</f>
        <v>258</v>
      </c>
      <c r="O39" s="33">
        <f t="shared" ref="O39:O47" si="31">N39/B39</f>
        <v>0.1392336751214247</v>
      </c>
      <c r="P39" s="11"/>
      <c r="Q39" s="26" t="str">
        <f t="shared" ref="Q39:Q47" si="32">A39</f>
        <v>Sommer Nora</v>
      </c>
      <c r="R39" s="27">
        <f t="shared" ref="R39:R47" si="33">B39</f>
        <v>1853</v>
      </c>
      <c r="S39" s="29">
        <v>88</v>
      </c>
      <c r="T39" s="35">
        <v>34</v>
      </c>
      <c r="U39" s="28">
        <v>4</v>
      </c>
      <c r="V39" s="32">
        <v>132</v>
      </c>
      <c r="W39" s="31">
        <f t="shared" ref="W39:W47" si="34">SUM(S39:V39)</f>
        <v>258</v>
      </c>
      <c r="X39" s="36">
        <f t="shared" ref="X39:X47" si="35">W39/R39*100</f>
        <v>13.92336751214247</v>
      </c>
      <c r="AA39" s="91"/>
    </row>
    <row r="40" spans="1:31" x14ac:dyDescent="0.2">
      <c r="A40" s="26" t="s">
        <v>24</v>
      </c>
      <c r="B40" s="27">
        <f t="shared" si="25"/>
        <v>1778</v>
      </c>
      <c r="C40" s="28">
        <f>C39</f>
        <v>914</v>
      </c>
      <c r="D40" s="29">
        <v>417</v>
      </c>
      <c r="E40" s="30">
        <f t="shared" si="26"/>
        <v>1331</v>
      </c>
      <c r="F40" s="28">
        <v>135</v>
      </c>
      <c r="G40" s="31">
        <v>59</v>
      </c>
      <c r="H40" s="31">
        <v>10</v>
      </c>
      <c r="I40" s="32">
        <v>243</v>
      </c>
      <c r="J40" s="28">
        <f t="shared" si="27"/>
        <v>447</v>
      </c>
      <c r="K40" s="33">
        <f t="shared" si="28"/>
        <v>0.25140607424071992</v>
      </c>
      <c r="L40" s="50"/>
      <c r="M40" s="34" t="str">
        <f t="shared" si="29"/>
        <v>Prandi Adriano</v>
      </c>
      <c r="N40" s="28">
        <f t="shared" si="30"/>
        <v>228</v>
      </c>
      <c r="O40" s="33">
        <f t="shared" si="31"/>
        <v>0.12823397075365578</v>
      </c>
      <c r="P40" s="50"/>
      <c r="Q40" s="26" t="str">
        <f t="shared" si="32"/>
        <v>Prandi Adriano</v>
      </c>
      <c r="R40" s="27">
        <f t="shared" si="33"/>
        <v>1778</v>
      </c>
      <c r="S40" s="29">
        <v>72</v>
      </c>
      <c r="T40" s="35">
        <v>32</v>
      </c>
      <c r="U40" s="28">
        <v>0</v>
      </c>
      <c r="V40" s="32">
        <v>124</v>
      </c>
      <c r="W40" s="31">
        <f t="shared" si="34"/>
        <v>228</v>
      </c>
      <c r="X40" s="36">
        <f t="shared" si="35"/>
        <v>12.823397075365579</v>
      </c>
      <c r="Y40" s="1"/>
      <c r="AA40" s="91"/>
    </row>
    <row r="41" spans="1:31" x14ac:dyDescent="0.2">
      <c r="A41" s="26" t="s">
        <v>26</v>
      </c>
      <c r="B41" s="27">
        <f t="shared" si="25"/>
        <v>1634</v>
      </c>
      <c r="C41" s="28">
        <f>C40</f>
        <v>914</v>
      </c>
      <c r="D41" s="29">
        <v>405</v>
      </c>
      <c r="E41" s="30">
        <f t="shared" si="26"/>
        <v>1319</v>
      </c>
      <c r="F41" s="28">
        <v>88</v>
      </c>
      <c r="G41" s="31">
        <v>32</v>
      </c>
      <c r="H41" s="31">
        <v>10</v>
      </c>
      <c r="I41" s="32">
        <v>185</v>
      </c>
      <c r="J41" s="28">
        <f t="shared" si="27"/>
        <v>315</v>
      </c>
      <c r="K41" s="33">
        <f t="shared" si="28"/>
        <v>0.19277845777233782</v>
      </c>
      <c r="L41" s="50"/>
      <c r="M41" s="34" t="str">
        <f t="shared" si="29"/>
        <v>Walker Raphael</v>
      </c>
      <c r="N41" s="28">
        <f t="shared" si="30"/>
        <v>120</v>
      </c>
      <c r="O41" s="33">
        <f t="shared" si="31"/>
        <v>7.3439412484700123E-2</v>
      </c>
      <c r="P41" s="50"/>
      <c r="Q41" s="26" t="str">
        <f t="shared" si="32"/>
        <v>Walker Raphael</v>
      </c>
      <c r="R41" s="27">
        <f t="shared" si="33"/>
        <v>1634</v>
      </c>
      <c r="S41" s="29">
        <v>32</v>
      </c>
      <c r="T41" s="35">
        <v>6</v>
      </c>
      <c r="U41" s="28">
        <v>0</v>
      </c>
      <c r="V41" s="32">
        <v>82</v>
      </c>
      <c r="W41" s="31">
        <f t="shared" si="34"/>
        <v>120</v>
      </c>
      <c r="X41" s="36">
        <f t="shared" si="35"/>
        <v>7.3439412484700126</v>
      </c>
      <c r="AA41" s="91"/>
    </row>
    <row r="42" spans="1:31" s="9" customFormat="1" x14ac:dyDescent="0.2">
      <c r="A42" s="37" t="s">
        <v>34</v>
      </c>
      <c r="B42" s="38">
        <f t="shared" si="25"/>
        <v>1492</v>
      </c>
      <c r="C42" s="39">
        <f>C41</f>
        <v>914</v>
      </c>
      <c r="D42" s="40">
        <v>353</v>
      </c>
      <c r="E42" s="41">
        <f t="shared" si="26"/>
        <v>1267</v>
      </c>
      <c r="F42" s="39">
        <v>59</v>
      </c>
      <c r="G42" s="42">
        <v>18</v>
      </c>
      <c r="H42" s="42">
        <v>3</v>
      </c>
      <c r="I42" s="43">
        <v>145</v>
      </c>
      <c r="J42" s="39">
        <f t="shared" si="27"/>
        <v>225</v>
      </c>
      <c r="K42" s="44">
        <f t="shared" si="28"/>
        <v>0.15080428954423591</v>
      </c>
      <c r="L42" s="45"/>
      <c r="M42" s="46" t="str">
        <f t="shared" si="29"/>
        <v xml:space="preserve">Gisler Chiara </v>
      </c>
      <c r="N42" s="39">
        <f t="shared" si="30"/>
        <v>132</v>
      </c>
      <c r="O42" s="44">
        <f t="shared" si="31"/>
        <v>8.8471849865951746E-2</v>
      </c>
      <c r="P42" s="45"/>
      <c r="Q42" s="37" t="str">
        <f t="shared" si="32"/>
        <v xml:space="preserve">Gisler Chiara </v>
      </c>
      <c r="R42" s="38">
        <f t="shared" si="33"/>
        <v>1492</v>
      </c>
      <c r="S42" s="40">
        <v>30</v>
      </c>
      <c r="T42" s="47">
        <v>12</v>
      </c>
      <c r="U42" s="39">
        <v>0</v>
      </c>
      <c r="V42" s="43">
        <v>90</v>
      </c>
      <c r="W42" s="42">
        <f t="shared" si="34"/>
        <v>132</v>
      </c>
      <c r="X42" s="48">
        <f t="shared" si="35"/>
        <v>8.8471849865951739</v>
      </c>
      <c r="AA42" s="94"/>
    </row>
    <row r="43" spans="1:31" x14ac:dyDescent="0.2">
      <c r="A43" s="26" t="s">
        <v>27</v>
      </c>
      <c r="B43" s="27">
        <f t="shared" si="25"/>
        <v>1377</v>
      </c>
      <c r="C43" s="28">
        <f>C42</f>
        <v>914</v>
      </c>
      <c r="D43" s="29">
        <v>345</v>
      </c>
      <c r="E43" s="30">
        <f t="shared" si="26"/>
        <v>1259</v>
      </c>
      <c r="F43" s="28">
        <v>28</v>
      </c>
      <c r="G43" s="31">
        <v>9</v>
      </c>
      <c r="H43" s="31">
        <v>6</v>
      </c>
      <c r="I43" s="32">
        <v>75</v>
      </c>
      <c r="J43" s="28">
        <f t="shared" si="27"/>
        <v>118</v>
      </c>
      <c r="K43" s="33">
        <f t="shared" si="28"/>
        <v>8.569353667392883E-2</v>
      </c>
      <c r="L43" s="49"/>
      <c r="M43" s="34" t="str">
        <f t="shared" si="29"/>
        <v>Infanger Walter</v>
      </c>
      <c r="N43" s="28">
        <f t="shared" si="30"/>
        <v>36</v>
      </c>
      <c r="O43" s="33">
        <f t="shared" si="31"/>
        <v>2.6143790849673203E-2</v>
      </c>
      <c r="P43" s="50"/>
      <c r="Q43" s="26" t="str">
        <f t="shared" si="32"/>
        <v>Infanger Walter</v>
      </c>
      <c r="R43" s="27">
        <f t="shared" si="33"/>
        <v>1377</v>
      </c>
      <c r="S43" s="29">
        <v>8</v>
      </c>
      <c r="T43" s="35">
        <v>4</v>
      </c>
      <c r="U43" s="28">
        <v>4</v>
      </c>
      <c r="V43" s="32">
        <v>20</v>
      </c>
      <c r="W43" s="31">
        <f t="shared" si="34"/>
        <v>36</v>
      </c>
      <c r="X43" s="36">
        <f t="shared" si="35"/>
        <v>2.6143790849673203</v>
      </c>
      <c r="Y43" s="1"/>
      <c r="Z43" s="1"/>
      <c r="AA43" s="95"/>
      <c r="AB43" s="1"/>
      <c r="AC43" s="1"/>
      <c r="AD43" s="1"/>
      <c r="AE43" s="1"/>
    </row>
    <row r="44" spans="1:31" x14ac:dyDescent="0.2">
      <c r="A44" s="26" t="s">
        <v>35</v>
      </c>
      <c r="B44" s="27">
        <f t="shared" si="25"/>
        <v>1332</v>
      </c>
      <c r="C44" s="28">
        <f>C43</f>
        <v>914</v>
      </c>
      <c r="D44" s="29">
        <v>319</v>
      </c>
      <c r="E44" s="30">
        <f t="shared" si="26"/>
        <v>1233</v>
      </c>
      <c r="F44" s="28">
        <v>23</v>
      </c>
      <c r="G44" s="31">
        <v>7</v>
      </c>
      <c r="H44" s="31">
        <v>3</v>
      </c>
      <c r="I44" s="32">
        <v>66</v>
      </c>
      <c r="J44" s="28">
        <f t="shared" si="27"/>
        <v>99</v>
      </c>
      <c r="K44" s="33">
        <f t="shared" si="28"/>
        <v>7.4324324324324328E-2</v>
      </c>
      <c r="L44" s="11"/>
      <c r="M44" s="34" t="str">
        <f t="shared" si="29"/>
        <v>Brunner Niklaus</v>
      </c>
      <c r="N44" s="28">
        <f t="shared" si="30"/>
        <v>52</v>
      </c>
      <c r="O44" s="33">
        <f t="shared" si="31"/>
        <v>3.903903903903904E-2</v>
      </c>
      <c r="P44" s="11"/>
      <c r="Q44" s="26" t="str">
        <f t="shared" si="32"/>
        <v>Brunner Niklaus</v>
      </c>
      <c r="R44" s="27">
        <f t="shared" si="33"/>
        <v>1332</v>
      </c>
      <c r="S44" s="29">
        <v>12</v>
      </c>
      <c r="T44" s="35">
        <v>2</v>
      </c>
      <c r="U44" s="28">
        <v>2</v>
      </c>
      <c r="V44" s="32">
        <v>36</v>
      </c>
      <c r="W44" s="31">
        <f t="shared" si="34"/>
        <v>52</v>
      </c>
      <c r="X44" s="36">
        <f t="shared" si="35"/>
        <v>3.9039039039039038</v>
      </c>
      <c r="AA44" s="91"/>
    </row>
    <row r="45" spans="1:31" x14ac:dyDescent="0.2">
      <c r="A45" s="26" t="s">
        <v>36</v>
      </c>
      <c r="B45" s="27">
        <f t="shared" si="25"/>
        <v>825</v>
      </c>
      <c r="C45" s="28">
        <f>C44/2</f>
        <v>457</v>
      </c>
      <c r="D45" s="29">
        <v>224</v>
      </c>
      <c r="E45" s="30">
        <f t="shared" si="26"/>
        <v>681</v>
      </c>
      <c r="F45" s="28">
        <v>37</v>
      </c>
      <c r="G45" s="31">
        <v>15</v>
      </c>
      <c r="H45" s="31">
        <v>2</v>
      </c>
      <c r="I45" s="32">
        <v>90</v>
      </c>
      <c r="J45" s="28">
        <f t="shared" si="27"/>
        <v>144</v>
      </c>
      <c r="K45" s="33">
        <f t="shared" si="28"/>
        <v>0.17454545454545456</v>
      </c>
      <c r="L45" s="11"/>
      <c r="M45" s="34" t="str">
        <f t="shared" si="29"/>
        <v xml:space="preserve">Kilchmann Imhof Judith </v>
      </c>
      <c r="N45" s="28">
        <f t="shared" si="30"/>
        <v>54</v>
      </c>
      <c r="O45" s="33">
        <f t="shared" si="31"/>
        <v>6.545454545454546E-2</v>
      </c>
      <c r="P45" s="11"/>
      <c r="Q45" s="26" t="str">
        <f t="shared" si="32"/>
        <v xml:space="preserve">Kilchmann Imhof Judith </v>
      </c>
      <c r="R45" s="27">
        <f t="shared" si="33"/>
        <v>825</v>
      </c>
      <c r="S45" s="29">
        <v>16</v>
      </c>
      <c r="T45" s="35">
        <v>8</v>
      </c>
      <c r="U45" s="28">
        <v>2</v>
      </c>
      <c r="V45" s="32">
        <v>28</v>
      </c>
      <c r="W45" s="31">
        <f t="shared" si="34"/>
        <v>54</v>
      </c>
      <c r="X45" s="36">
        <f t="shared" si="35"/>
        <v>6.5454545454545459</v>
      </c>
      <c r="AA45" s="91"/>
    </row>
    <row r="46" spans="1:31" x14ac:dyDescent="0.2">
      <c r="A46" s="26" t="s">
        <v>37</v>
      </c>
      <c r="B46" s="27">
        <f t="shared" si="25"/>
        <v>715</v>
      </c>
      <c r="C46" s="28">
        <f>C45</f>
        <v>457</v>
      </c>
      <c r="D46" s="29">
        <v>164</v>
      </c>
      <c r="E46" s="30">
        <f t="shared" si="26"/>
        <v>621</v>
      </c>
      <c r="F46" s="28">
        <v>31</v>
      </c>
      <c r="G46" s="31">
        <v>5</v>
      </c>
      <c r="H46" s="31">
        <v>5</v>
      </c>
      <c r="I46" s="32">
        <v>53</v>
      </c>
      <c r="J46" s="28">
        <f t="shared" si="27"/>
        <v>94</v>
      </c>
      <c r="K46" s="33">
        <f t="shared" si="28"/>
        <v>0.13146853146853146</v>
      </c>
      <c r="L46" s="11"/>
      <c r="M46" s="34" t="str">
        <f t="shared" si="29"/>
        <v xml:space="preserve">Gisler Stefanie </v>
      </c>
      <c r="N46" s="28">
        <f t="shared" si="30"/>
        <v>42</v>
      </c>
      <c r="O46" s="33">
        <f t="shared" si="31"/>
        <v>5.8741258741258739E-2</v>
      </c>
      <c r="P46" s="11"/>
      <c r="Q46" s="26" t="str">
        <f t="shared" si="32"/>
        <v xml:space="preserve">Gisler Stefanie </v>
      </c>
      <c r="R46" s="27">
        <f t="shared" si="33"/>
        <v>715</v>
      </c>
      <c r="S46" s="29">
        <v>12</v>
      </c>
      <c r="T46" s="35">
        <v>0</v>
      </c>
      <c r="U46" s="28">
        <v>2</v>
      </c>
      <c r="V46" s="32">
        <v>28</v>
      </c>
      <c r="W46" s="31">
        <f t="shared" si="34"/>
        <v>42</v>
      </c>
      <c r="X46" s="36">
        <f t="shared" si="35"/>
        <v>5.8741258741258742</v>
      </c>
      <c r="AA46" s="91"/>
    </row>
    <row r="47" spans="1:31" x14ac:dyDescent="0.2">
      <c r="A47" s="26" t="s">
        <v>38</v>
      </c>
      <c r="B47" s="27">
        <f t="shared" si="25"/>
        <v>653</v>
      </c>
      <c r="C47" s="28">
        <f>C46</f>
        <v>457</v>
      </c>
      <c r="D47" s="29">
        <v>118</v>
      </c>
      <c r="E47" s="30">
        <f t="shared" si="26"/>
        <v>575</v>
      </c>
      <c r="F47" s="28">
        <v>17</v>
      </c>
      <c r="G47" s="31">
        <v>3</v>
      </c>
      <c r="H47" s="31">
        <v>1</v>
      </c>
      <c r="I47" s="32">
        <v>57</v>
      </c>
      <c r="J47" s="28">
        <f t="shared" si="27"/>
        <v>78</v>
      </c>
      <c r="K47" s="33">
        <f t="shared" si="28"/>
        <v>0.11944869831546708</v>
      </c>
      <c r="L47" s="11"/>
      <c r="M47" s="34" t="str">
        <f t="shared" si="29"/>
        <v>Imholz Alain</v>
      </c>
      <c r="N47" s="28">
        <f t="shared" si="30"/>
        <v>24</v>
      </c>
      <c r="O47" s="33">
        <f t="shared" si="31"/>
        <v>3.6753445635528334E-2</v>
      </c>
      <c r="P47" s="11"/>
      <c r="Q47" s="26" t="str">
        <f t="shared" si="32"/>
        <v>Imholz Alain</v>
      </c>
      <c r="R47" s="27">
        <f t="shared" si="33"/>
        <v>653</v>
      </c>
      <c r="S47" s="29">
        <v>6</v>
      </c>
      <c r="T47" s="35">
        <v>2</v>
      </c>
      <c r="U47" s="28">
        <v>0</v>
      </c>
      <c r="V47" s="32">
        <v>16</v>
      </c>
      <c r="W47" s="31">
        <f t="shared" si="34"/>
        <v>24</v>
      </c>
      <c r="X47" s="36">
        <f t="shared" si="35"/>
        <v>3.6753445635528332</v>
      </c>
      <c r="AA47" s="65"/>
    </row>
    <row r="48" spans="1:31" x14ac:dyDescent="0.2">
      <c r="A48" s="51"/>
      <c r="B48" s="52"/>
      <c r="C48" s="53"/>
      <c r="D48" s="53"/>
      <c r="E48" s="54"/>
      <c r="F48" s="53"/>
      <c r="G48" s="55"/>
      <c r="H48" s="55"/>
      <c r="I48" s="55"/>
      <c r="J48" s="53"/>
      <c r="K48" s="53"/>
      <c r="L48" s="11"/>
      <c r="M48" s="56"/>
      <c r="N48" s="53"/>
      <c r="O48" s="53"/>
      <c r="P48" s="11"/>
      <c r="Q48" s="51"/>
      <c r="R48" s="52"/>
      <c r="S48" s="53"/>
      <c r="T48" s="54"/>
      <c r="U48" s="53"/>
      <c r="V48" s="55"/>
      <c r="W48" s="55"/>
      <c r="X48" s="57"/>
      <c r="AA48" s="65"/>
    </row>
    <row r="49" spans="1:31" x14ac:dyDescent="0.2">
      <c r="A49" s="58" t="s">
        <v>9</v>
      </c>
      <c r="B49" s="88">
        <f t="shared" ref="B49:J49" si="36">SUM(B39:B47)</f>
        <v>11659</v>
      </c>
      <c r="C49" s="88">
        <f t="shared" si="36"/>
        <v>6855</v>
      </c>
      <c r="D49" s="88">
        <f t="shared" si="36"/>
        <v>2790</v>
      </c>
      <c r="E49" s="88">
        <f t="shared" si="36"/>
        <v>9645</v>
      </c>
      <c r="F49" s="88">
        <f t="shared" si="36"/>
        <v>580</v>
      </c>
      <c r="G49" s="88">
        <f t="shared" si="36"/>
        <v>218</v>
      </c>
      <c r="H49" s="88">
        <f t="shared" si="36"/>
        <v>52</v>
      </c>
      <c r="I49" s="88">
        <f t="shared" si="36"/>
        <v>1164</v>
      </c>
      <c r="J49" s="88">
        <f t="shared" si="36"/>
        <v>2014</v>
      </c>
      <c r="K49" s="61">
        <f>J49/(B49)</f>
        <v>0.17274208765760357</v>
      </c>
      <c r="L49" s="11"/>
      <c r="M49" s="62" t="s">
        <v>9</v>
      </c>
      <c r="N49" s="60">
        <f>SUM(N39:N47)</f>
        <v>946</v>
      </c>
      <c r="O49" s="61">
        <f>N49/B49</f>
        <v>8.1139034222489068E-2</v>
      </c>
      <c r="P49" s="11"/>
      <c r="Q49" s="58" t="s">
        <v>9</v>
      </c>
      <c r="R49" s="88">
        <f t="shared" ref="R49:W49" si="37">SUM(R39:R47)</f>
        <v>11659</v>
      </c>
      <c r="S49" s="88">
        <f t="shared" si="37"/>
        <v>276</v>
      </c>
      <c r="T49" s="88">
        <f t="shared" si="37"/>
        <v>100</v>
      </c>
      <c r="U49" s="88">
        <f t="shared" si="37"/>
        <v>14</v>
      </c>
      <c r="V49" s="88">
        <f t="shared" si="37"/>
        <v>556</v>
      </c>
      <c r="W49" s="88">
        <f t="shared" si="37"/>
        <v>946</v>
      </c>
      <c r="X49" s="64">
        <f>W49/R49*100</f>
        <v>8.1139034222489066</v>
      </c>
      <c r="AA49" s="65"/>
    </row>
    <row r="50" spans="1:31" x14ac:dyDescent="0.2">
      <c r="AA50" s="65"/>
    </row>
    <row r="51" spans="1:31" x14ac:dyDescent="0.2">
      <c r="AA51" s="65"/>
    </row>
    <row r="52" spans="1:31" x14ac:dyDescent="0.2">
      <c r="AA52" s="65"/>
    </row>
    <row r="53" spans="1:31" x14ac:dyDescent="0.2">
      <c r="A53" s="7" t="s">
        <v>12</v>
      </c>
      <c r="AA53" s="65"/>
    </row>
    <row r="54" spans="1:31" ht="35.25" customHeight="1" x14ac:dyDescent="0.2">
      <c r="A54" s="97" t="s">
        <v>0</v>
      </c>
      <c r="B54" s="99" t="s">
        <v>1</v>
      </c>
      <c r="C54" s="101" t="s">
        <v>2</v>
      </c>
      <c r="D54" s="102"/>
      <c r="E54" s="103"/>
      <c r="F54" s="101" t="s">
        <v>3</v>
      </c>
      <c r="G54" s="102"/>
      <c r="H54" s="102"/>
      <c r="I54" s="103"/>
      <c r="J54" s="101" t="s">
        <v>4</v>
      </c>
      <c r="K54" s="103"/>
      <c r="L54" s="11"/>
      <c r="M54" s="107" t="s">
        <v>0</v>
      </c>
      <c r="N54" s="104" t="s">
        <v>5</v>
      </c>
      <c r="O54" s="106"/>
      <c r="P54" s="11"/>
      <c r="Q54" s="97" t="s">
        <v>0</v>
      </c>
      <c r="R54" s="99" t="s">
        <v>1</v>
      </c>
      <c r="S54" s="104" t="s">
        <v>6</v>
      </c>
      <c r="T54" s="105"/>
      <c r="U54" s="105"/>
      <c r="V54" s="106"/>
      <c r="W54" s="12"/>
      <c r="X54" s="13"/>
      <c r="AA54" s="65"/>
    </row>
    <row r="55" spans="1:31" s="3" customFormat="1" x14ac:dyDescent="0.2">
      <c r="A55" s="98"/>
      <c r="B55" s="100"/>
      <c r="C55" s="14" t="s">
        <v>7</v>
      </c>
      <c r="D55" s="15" t="s">
        <v>8</v>
      </c>
      <c r="E55" s="15" t="s">
        <v>9</v>
      </c>
      <c r="F55" s="14" t="s">
        <v>18</v>
      </c>
      <c r="G55" s="15" t="s">
        <v>10</v>
      </c>
      <c r="H55" s="15" t="s">
        <v>11</v>
      </c>
      <c r="I55" s="15" t="s">
        <v>13</v>
      </c>
      <c r="J55" s="14" t="s">
        <v>14</v>
      </c>
      <c r="K55" s="14" t="s">
        <v>15</v>
      </c>
      <c r="L55" s="16"/>
      <c r="M55" s="108"/>
      <c r="N55" s="14" t="s">
        <v>14</v>
      </c>
      <c r="O55" s="14" t="s">
        <v>15</v>
      </c>
      <c r="P55" s="16"/>
      <c r="Q55" s="98"/>
      <c r="R55" s="100"/>
      <c r="S55" s="15" t="str">
        <f>F55</f>
        <v>CVP</v>
      </c>
      <c r="T55" s="15" t="str">
        <f>G55</f>
        <v>FDP</v>
      </c>
      <c r="U55" s="15" t="str">
        <f>H55</f>
        <v>SP/GB</v>
      </c>
      <c r="V55" s="15" t="str">
        <f>I55</f>
        <v>FL</v>
      </c>
      <c r="W55" s="15" t="s">
        <v>9</v>
      </c>
      <c r="X55" s="17" t="s">
        <v>16</v>
      </c>
      <c r="AA55" s="65"/>
    </row>
    <row r="56" spans="1:31" x14ac:dyDescent="0.2">
      <c r="A56" s="18"/>
      <c r="B56" s="19"/>
      <c r="C56" s="20"/>
      <c r="D56" s="20"/>
      <c r="E56" s="21"/>
      <c r="F56" s="22"/>
      <c r="G56" s="23"/>
      <c r="H56" s="23"/>
      <c r="I56" s="23"/>
      <c r="J56" s="22"/>
      <c r="K56" s="22"/>
      <c r="L56" s="11"/>
      <c r="M56" s="24"/>
      <c r="N56" s="22"/>
      <c r="O56" s="22"/>
      <c r="P56" s="11"/>
      <c r="Q56" s="18"/>
      <c r="R56" s="19"/>
      <c r="S56" s="20"/>
      <c r="T56" s="21"/>
      <c r="U56" s="20"/>
      <c r="V56" s="23"/>
      <c r="W56" s="23"/>
      <c r="X56" s="25"/>
      <c r="AA56" s="65"/>
    </row>
    <row r="57" spans="1:31" x14ac:dyDescent="0.2">
      <c r="A57" s="26" t="s">
        <v>44</v>
      </c>
      <c r="B57" s="27">
        <f t="shared" ref="B57:B64" si="38">E57+J57</f>
        <v>1226</v>
      </c>
      <c r="C57" s="28">
        <v>650</v>
      </c>
      <c r="D57" s="29">
        <v>225</v>
      </c>
      <c r="E57" s="30">
        <f t="shared" ref="E57:E64" si="39">SUM(C57:D57)</f>
        <v>875</v>
      </c>
      <c r="F57" s="28">
        <v>76</v>
      </c>
      <c r="G57" s="31">
        <v>99</v>
      </c>
      <c r="H57" s="32">
        <v>2</v>
      </c>
      <c r="I57" s="32">
        <v>174</v>
      </c>
      <c r="J57" s="28">
        <f t="shared" ref="J57:J64" si="40">SUM(F57:I57)</f>
        <v>351</v>
      </c>
      <c r="K57" s="33">
        <f t="shared" ref="K57:K64" si="41">J57/B57</f>
        <v>0.28629690048939643</v>
      </c>
      <c r="L57" s="11"/>
      <c r="M57" s="34" t="str">
        <f t="shared" ref="M57:M64" si="42">A57</f>
        <v>Blöchlinger Pascal</v>
      </c>
      <c r="N57" s="28">
        <f t="shared" ref="N57:N64" si="43">W57</f>
        <v>200</v>
      </c>
      <c r="O57" s="33">
        <f t="shared" ref="O57:O64" si="44">N57/B57</f>
        <v>0.16313213703099511</v>
      </c>
      <c r="P57" s="11"/>
      <c r="Q57" s="26" t="str">
        <f t="shared" ref="Q57:R64" si="45">A57</f>
        <v>Blöchlinger Pascal</v>
      </c>
      <c r="R57" s="27">
        <f t="shared" si="45"/>
        <v>1226</v>
      </c>
      <c r="S57" s="29">
        <v>42</v>
      </c>
      <c r="T57" s="35">
        <v>64</v>
      </c>
      <c r="U57" s="28">
        <v>0</v>
      </c>
      <c r="V57" s="32">
        <v>94</v>
      </c>
      <c r="W57" s="31">
        <f t="shared" ref="W57:W64" si="46">SUM(S57:V57)</f>
        <v>200</v>
      </c>
      <c r="X57" s="36">
        <f t="shared" ref="X57:X64" si="47">W57/R57*100</f>
        <v>16.31321370309951</v>
      </c>
      <c r="AA57" s="65"/>
    </row>
    <row r="58" spans="1:31" x14ac:dyDescent="0.2">
      <c r="A58" s="26" t="s">
        <v>45</v>
      </c>
      <c r="B58" s="27">
        <f t="shared" si="38"/>
        <v>1095</v>
      </c>
      <c r="C58" s="28">
        <f t="shared" ref="C58:C63" si="48">C57</f>
        <v>650</v>
      </c>
      <c r="D58" s="29">
        <v>203</v>
      </c>
      <c r="E58" s="30">
        <f t="shared" si="39"/>
        <v>853</v>
      </c>
      <c r="F58" s="28">
        <v>56</v>
      </c>
      <c r="G58" s="31">
        <v>42</v>
      </c>
      <c r="H58" s="32">
        <v>13</v>
      </c>
      <c r="I58" s="32">
        <v>131</v>
      </c>
      <c r="J58" s="28">
        <f t="shared" si="40"/>
        <v>242</v>
      </c>
      <c r="K58" s="33">
        <f t="shared" si="41"/>
        <v>0.22100456621004566</v>
      </c>
      <c r="L58" s="50"/>
      <c r="M58" s="34" t="str">
        <f t="shared" si="42"/>
        <v>Arnold Elias</v>
      </c>
      <c r="N58" s="28">
        <f t="shared" si="43"/>
        <v>92</v>
      </c>
      <c r="O58" s="33">
        <f t="shared" si="44"/>
        <v>8.4018264840182655E-2</v>
      </c>
      <c r="P58" s="50"/>
      <c r="Q58" s="26" t="str">
        <f t="shared" si="45"/>
        <v>Arnold Elias</v>
      </c>
      <c r="R58" s="27">
        <f t="shared" si="45"/>
        <v>1095</v>
      </c>
      <c r="S58" s="29">
        <v>24</v>
      </c>
      <c r="T58" s="35">
        <v>12</v>
      </c>
      <c r="U58" s="28">
        <v>6</v>
      </c>
      <c r="V58" s="32">
        <v>50</v>
      </c>
      <c r="W58" s="31">
        <f t="shared" si="46"/>
        <v>92</v>
      </c>
      <c r="X58" s="36">
        <f t="shared" si="47"/>
        <v>8.4018264840182653</v>
      </c>
      <c r="Y58" s="1"/>
      <c r="Z58" s="1"/>
      <c r="AA58" s="65"/>
      <c r="AB58" s="1"/>
      <c r="AC58" s="1"/>
      <c r="AD58" s="1"/>
      <c r="AE58" s="1"/>
    </row>
    <row r="59" spans="1:31" s="9" customFormat="1" x14ac:dyDescent="0.2">
      <c r="A59" s="37" t="s">
        <v>47</v>
      </c>
      <c r="B59" s="38">
        <f t="shared" si="38"/>
        <v>1010</v>
      </c>
      <c r="C59" s="39">
        <f t="shared" si="48"/>
        <v>650</v>
      </c>
      <c r="D59" s="40">
        <v>203</v>
      </c>
      <c r="E59" s="41">
        <f t="shared" si="39"/>
        <v>853</v>
      </c>
      <c r="F59" s="39">
        <v>27</v>
      </c>
      <c r="G59" s="42">
        <v>29</v>
      </c>
      <c r="H59" s="43">
        <v>6</v>
      </c>
      <c r="I59" s="43">
        <v>95</v>
      </c>
      <c r="J59" s="39">
        <f t="shared" si="40"/>
        <v>157</v>
      </c>
      <c r="K59" s="44">
        <f t="shared" si="41"/>
        <v>0.15544554455445544</v>
      </c>
      <c r="L59" s="89"/>
      <c r="M59" s="46" t="str">
        <f t="shared" si="42"/>
        <v>Brunner Claudia</v>
      </c>
      <c r="N59" s="39">
        <f t="shared" si="43"/>
        <v>52</v>
      </c>
      <c r="O59" s="44">
        <f t="shared" si="44"/>
        <v>5.1485148514851482E-2</v>
      </c>
      <c r="P59" s="45"/>
      <c r="Q59" s="37" t="str">
        <f t="shared" si="45"/>
        <v>Brunner Claudia</v>
      </c>
      <c r="R59" s="38">
        <f t="shared" si="45"/>
        <v>1010</v>
      </c>
      <c r="S59" s="40">
        <v>4</v>
      </c>
      <c r="T59" s="47">
        <v>10</v>
      </c>
      <c r="U59" s="39">
        <v>4</v>
      </c>
      <c r="V59" s="43">
        <v>34</v>
      </c>
      <c r="W59" s="42">
        <f t="shared" si="46"/>
        <v>52</v>
      </c>
      <c r="X59" s="48">
        <f t="shared" si="47"/>
        <v>5.1485148514851486</v>
      </c>
      <c r="AA59" s="93"/>
    </row>
    <row r="60" spans="1:31" x14ac:dyDescent="0.2">
      <c r="A60" s="26" t="s">
        <v>49</v>
      </c>
      <c r="B60" s="27">
        <f t="shared" si="38"/>
        <v>934</v>
      </c>
      <c r="C60" s="28">
        <f t="shared" si="48"/>
        <v>650</v>
      </c>
      <c r="D60" s="29">
        <v>180</v>
      </c>
      <c r="E60" s="30">
        <f t="shared" si="39"/>
        <v>830</v>
      </c>
      <c r="F60" s="28">
        <v>22</v>
      </c>
      <c r="G60" s="31">
        <v>21</v>
      </c>
      <c r="H60" s="32">
        <v>4</v>
      </c>
      <c r="I60" s="32">
        <v>57</v>
      </c>
      <c r="J60" s="28">
        <f t="shared" si="40"/>
        <v>104</v>
      </c>
      <c r="K60" s="33">
        <f t="shared" si="41"/>
        <v>0.11134903640256959</v>
      </c>
      <c r="L60" s="11"/>
      <c r="M60" s="34" t="str">
        <f t="shared" si="42"/>
        <v>Gisler André</v>
      </c>
      <c r="N60" s="28">
        <f t="shared" si="43"/>
        <v>44</v>
      </c>
      <c r="O60" s="33">
        <f t="shared" si="44"/>
        <v>4.7109207708779445E-2</v>
      </c>
      <c r="P60" s="11"/>
      <c r="Q60" s="26" t="str">
        <f t="shared" si="45"/>
        <v>Gisler André</v>
      </c>
      <c r="R60" s="27">
        <f t="shared" si="45"/>
        <v>934</v>
      </c>
      <c r="S60" s="29">
        <v>10</v>
      </c>
      <c r="T60" s="35">
        <v>14</v>
      </c>
      <c r="U60" s="28">
        <v>2</v>
      </c>
      <c r="V60" s="32">
        <v>18</v>
      </c>
      <c r="W60" s="31">
        <f t="shared" si="46"/>
        <v>44</v>
      </c>
      <c r="X60" s="36">
        <f t="shared" si="47"/>
        <v>4.7109207708779444</v>
      </c>
      <c r="AA60" s="65"/>
    </row>
    <row r="61" spans="1:31" x14ac:dyDescent="0.2">
      <c r="A61" s="26" t="s">
        <v>48</v>
      </c>
      <c r="B61" s="27">
        <f t="shared" si="38"/>
        <v>922</v>
      </c>
      <c r="C61" s="28">
        <f t="shared" si="48"/>
        <v>650</v>
      </c>
      <c r="D61" s="29">
        <v>180</v>
      </c>
      <c r="E61" s="30">
        <f t="shared" si="39"/>
        <v>830</v>
      </c>
      <c r="F61" s="28">
        <v>16</v>
      </c>
      <c r="G61" s="31">
        <v>21</v>
      </c>
      <c r="H61" s="32">
        <v>3</v>
      </c>
      <c r="I61" s="32">
        <v>52</v>
      </c>
      <c r="J61" s="28">
        <f t="shared" si="40"/>
        <v>92</v>
      </c>
      <c r="K61" s="33">
        <f t="shared" si="41"/>
        <v>9.9783080260303691E-2</v>
      </c>
      <c r="L61" s="11"/>
      <c r="M61" s="34" t="str">
        <f t="shared" si="42"/>
        <v xml:space="preserve">Von Mentlen Michael </v>
      </c>
      <c r="N61" s="28">
        <f t="shared" si="43"/>
        <v>42</v>
      </c>
      <c r="O61" s="33">
        <f t="shared" si="44"/>
        <v>4.5553145336225599E-2</v>
      </c>
      <c r="P61" s="11"/>
      <c r="Q61" s="26" t="str">
        <f t="shared" si="45"/>
        <v xml:space="preserve">Von Mentlen Michael </v>
      </c>
      <c r="R61" s="27">
        <f t="shared" si="45"/>
        <v>922</v>
      </c>
      <c r="S61" s="29">
        <v>8</v>
      </c>
      <c r="T61" s="35">
        <v>10</v>
      </c>
      <c r="U61" s="28">
        <v>2</v>
      </c>
      <c r="V61" s="32">
        <v>22</v>
      </c>
      <c r="W61" s="31">
        <f t="shared" si="46"/>
        <v>42</v>
      </c>
      <c r="X61" s="36">
        <f t="shared" si="47"/>
        <v>4.5553145336225596</v>
      </c>
      <c r="AA61" s="65"/>
    </row>
    <row r="62" spans="1:31" x14ac:dyDescent="0.2">
      <c r="A62" s="26" t="s">
        <v>46</v>
      </c>
      <c r="B62" s="27">
        <f t="shared" si="38"/>
        <v>905</v>
      </c>
      <c r="C62" s="28">
        <f t="shared" si="48"/>
        <v>650</v>
      </c>
      <c r="D62" s="29">
        <v>181</v>
      </c>
      <c r="E62" s="30">
        <f t="shared" si="39"/>
        <v>831</v>
      </c>
      <c r="F62" s="28">
        <v>11</v>
      </c>
      <c r="G62" s="31">
        <v>19</v>
      </c>
      <c r="H62" s="32">
        <v>3</v>
      </c>
      <c r="I62" s="32">
        <v>41</v>
      </c>
      <c r="J62" s="28">
        <f t="shared" si="40"/>
        <v>74</v>
      </c>
      <c r="K62" s="33">
        <f t="shared" si="41"/>
        <v>8.1767955801104977E-2</v>
      </c>
      <c r="L62" s="50"/>
      <c r="M62" s="34" t="str">
        <f t="shared" si="42"/>
        <v xml:space="preserve">Affentranger Fabio </v>
      </c>
      <c r="N62" s="28">
        <f t="shared" si="43"/>
        <v>22</v>
      </c>
      <c r="O62" s="33">
        <f t="shared" si="44"/>
        <v>2.430939226519337E-2</v>
      </c>
      <c r="P62" s="50"/>
      <c r="Q62" s="26" t="str">
        <f t="shared" si="45"/>
        <v xml:space="preserve">Affentranger Fabio </v>
      </c>
      <c r="R62" s="27">
        <f t="shared" si="45"/>
        <v>905</v>
      </c>
      <c r="S62" s="29">
        <v>2</v>
      </c>
      <c r="T62" s="35">
        <v>6</v>
      </c>
      <c r="U62" s="28">
        <v>2</v>
      </c>
      <c r="V62" s="32">
        <v>12</v>
      </c>
      <c r="W62" s="31">
        <f t="shared" si="46"/>
        <v>22</v>
      </c>
      <c r="X62" s="36">
        <f t="shared" si="47"/>
        <v>2.430939226519337</v>
      </c>
      <c r="Y62" s="1"/>
      <c r="Z62" s="1"/>
      <c r="AA62" s="96"/>
      <c r="AB62" s="1"/>
      <c r="AC62" s="1"/>
      <c r="AD62" s="1"/>
      <c r="AE62" s="1"/>
    </row>
    <row r="63" spans="1:31" x14ac:dyDescent="0.2">
      <c r="A63" s="26" t="s">
        <v>50</v>
      </c>
      <c r="B63" s="27">
        <f t="shared" si="38"/>
        <v>797</v>
      </c>
      <c r="C63" s="28">
        <f t="shared" si="48"/>
        <v>650</v>
      </c>
      <c r="D63" s="29">
        <v>109</v>
      </c>
      <c r="E63" s="30">
        <f t="shared" si="39"/>
        <v>759</v>
      </c>
      <c r="F63" s="28">
        <v>2</v>
      </c>
      <c r="G63" s="31">
        <v>3</v>
      </c>
      <c r="H63" s="32">
        <v>4</v>
      </c>
      <c r="I63" s="32">
        <v>29</v>
      </c>
      <c r="J63" s="28">
        <f t="shared" si="40"/>
        <v>38</v>
      </c>
      <c r="K63" s="33">
        <f t="shared" si="41"/>
        <v>4.7678795483061483E-2</v>
      </c>
      <c r="L63" s="11"/>
      <c r="M63" s="34" t="str">
        <f t="shared" si="42"/>
        <v>Widmer Albert</v>
      </c>
      <c r="N63" s="28">
        <f t="shared" si="43"/>
        <v>8</v>
      </c>
      <c r="O63" s="33">
        <f t="shared" si="44"/>
        <v>1.0037641154328732E-2</v>
      </c>
      <c r="P63" s="11"/>
      <c r="Q63" s="26" t="str">
        <f t="shared" si="45"/>
        <v>Widmer Albert</v>
      </c>
      <c r="R63" s="27">
        <f t="shared" si="45"/>
        <v>797</v>
      </c>
      <c r="S63" s="29">
        <v>0</v>
      </c>
      <c r="T63" s="35">
        <v>0</v>
      </c>
      <c r="U63" s="28">
        <v>0</v>
      </c>
      <c r="V63" s="32">
        <v>8</v>
      </c>
      <c r="W63" s="31">
        <f t="shared" si="46"/>
        <v>8</v>
      </c>
      <c r="X63" s="36">
        <f t="shared" si="47"/>
        <v>1.0037641154328731</v>
      </c>
      <c r="AA63" s="65"/>
    </row>
    <row r="64" spans="1:31" x14ac:dyDescent="0.2">
      <c r="A64" s="26" t="s">
        <v>51</v>
      </c>
      <c r="B64" s="27">
        <f t="shared" si="38"/>
        <v>462</v>
      </c>
      <c r="C64" s="28">
        <f>C63/2</f>
        <v>325</v>
      </c>
      <c r="D64" s="29">
        <v>93</v>
      </c>
      <c r="E64" s="30">
        <f t="shared" si="39"/>
        <v>418</v>
      </c>
      <c r="F64" s="28">
        <v>7</v>
      </c>
      <c r="G64" s="31">
        <v>4</v>
      </c>
      <c r="H64" s="32">
        <v>0</v>
      </c>
      <c r="I64" s="32">
        <v>33</v>
      </c>
      <c r="J64" s="28">
        <f t="shared" si="40"/>
        <v>44</v>
      </c>
      <c r="K64" s="33">
        <f t="shared" si="41"/>
        <v>9.5238095238095233E-2</v>
      </c>
      <c r="L64" s="11"/>
      <c r="M64" s="34" t="str">
        <f t="shared" si="42"/>
        <v>Imholz Adrian</v>
      </c>
      <c r="N64" s="28">
        <f t="shared" si="43"/>
        <v>14</v>
      </c>
      <c r="O64" s="33">
        <f t="shared" si="44"/>
        <v>3.0303030303030304E-2</v>
      </c>
      <c r="P64" s="11"/>
      <c r="Q64" s="26" t="str">
        <f t="shared" si="45"/>
        <v>Imholz Adrian</v>
      </c>
      <c r="R64" s="27">
        <f t="shared" si="45"/>
        <v>462</v>
      </c>
      <c r="S64" s="29">
        <v>2</v>
      </c>
      <c r="T64" s="35">
        <v>2</v>
      </c>
      <c r="U64" s="28">
        <v>0</v>
      </c>
      <c r="V64" s="32">
        <v>10</v>
      </c>
      <c r="W64" s="31">
        <f t="shared" si="46"/>
        <v>14</v>
      </c>
      <c r="X64" s="36">
        <f t="shared" si="47"/>
        <v>3.0303030303030303</v>
      </c>
      <c r="AA64" s="65"/>
    </row>
    <row r="65" spans="1:27" x14ac:dyDescent="0.2">
      <c r="A65" s="51"/>
      <c r="B65" s="52"/>
      <c r="C65" s="53"/>
      <c r="D65" s="53"/>
      <c r="E65" s="54"/>
      <c r="F65" s="53"/>
      <c r="G65" s="55"/>
      <c r="H65" s="55"/>
      <c r="I65" s="55"/>
      <c r="J65" s="53"/>
      <c r="K65" s="53"/>
      <c r="L65" s="11"/>
      <c r="M65" s="56"/>
      <c r="N65" s="53"/>
      <c r="O65" s="53"/>
      <c r="P65" s="11"/>
      <c r="Q65" s="51"/>
      <c r="R65" s="52"/>
      <c r="S65" s="53"/>
      <c r="T65" s="54"/>
      <c r="U65" s="53"/>
      <c r="V65" s="55"/>
      <c r="W65" s="55"/>
      <c r="X65" s="57"/>
      <c r="AA65" s="65"/>
    </row>
    <row r="66" spans="1:27" x14ac:dyDescent="0.2">
      <c r="A66" s="58" t="s">
        <v>9</v>
      </c>
      <c r="B66" s="59">
        <f>SUM(B57:B64)</f>
        <v>7351</v>
      </c>
      <c r="C66" s="60">
        <f t="shared" ref="C66:J66" si="49">SUM(C57:C65)</f>
        <v>4875</v>
      </c>
      <c r="D66" s="60">
        <f t="shared" si="49"/>
        <v>1374</v>
      </c>
      <c r="E66" s="60">
        <f t="shared" si="49"/>
        <v>6249</v>
      </c>
      <c r="F66" s="60">
        <f t="shared" si="49"/>
        <v>217</v>
      </c>
      <c r="G66" s="60">
        <f t="shared" si="49"/>
        <v>238</v>
      </c>
      <c r="H66" s="60">
        <f t="shared" si="49"/>
        <v>35</v>
      </c>
      <c r="I66" s="60">
        <f t="shared" si="49"/>
        <v>612</v>
      </c>
      <c r="J66" s="60">
        <f t="shared" si="49"/>
        <v>1102</v>
      </c>
      <c r="K66" s="61">
        <f>J66/(B66)</f>
        <v>0.14991157665623725</v>
      </c>
      <c r="L66" s="11"/>
      <c r="M66" s="62" t="s">
        <v>9</v>
      </c>
      <c r="N66" s="60">
        <f>SUM(N57:N65)</f>
        <v>474</v>
      </c>
      <c r="O66" s="61">
        <f>N66/B66</f>
        <v>6.4481022990069373E-2</v>
      </c>
      <c r="P66" s="11"/>
      <c r="Q66" s="58" t="s">
        <v>9</v>
      </c>
      <c r="R66" s="59">
        <f>SUM(R57:R64)</f>
        <v>7351</v>
      </c>
      <c r="S66" s="60">
        <f>SUM(S57:S65)</f>
        <v>92</v>
      </c>
      <c r="T66" s="63">
        <f>SUM(T57:T65)</f>
        <v>118</v>
      </c>
      <c r="U66" s="60">
        <f>SUM(U57:U65)</f>
        <v>16</v>
      </c>
      <c r="V66" s="60">
        <f>SUM(V57:V65)</f>
        <v>248</v>
      </c>
      <c r="W66" s="60">
        <f>SUM(W57:W65)</f>
        <v>474</v>
      </c>
      <c r="X66" s="64">
        <f>W66/R66*100</f>
        <v>6.448102299006937</v>
      </c>
      <c r="AA66" s="65"/>
    </row>
    <row r="67" spans="1:27" x14ac:dyDescent="0.2">
      <c r="AA67" s="65"/>
    </row>
    <row r="68" spans="1:27" x14ac:dyDescent="0.2">
      <c r="AA68" s="65"/>
    </row>
    <row r="69" spans="1:27" x14ac:dyDescent="0.2">
      <c r="AA69" s="65"/>
    </row>
    <row r="70" spans="1:27" x14ac:dyDescent="0.2">
      <c r="AA70" s="65"/>
    </row>
    <row r="71" spans="1:27" x14ac:dyDescent="0.2">
      <c r="AA71" s="65"/>
    </row>
    <row r="72" spans="1:27" x14ac:dyDescent="0.2">
      <c r="AA72" s="65"/>
    </row>
    <row r="73" spans="1:27" x14ac:dyDescent="0.2">
      <c r="AA73" s="65"/>
    </row>
    <row r="74" spans="1:27" x14ac:dyDescent="0.2">
      <c r="AA74" s="65"/>
    </row>
    <row r="75" spans="1:27" x14ac:dyDescent="0.2">
      <c r="AA75" s="65"/>
    </row>
    <row r="76" spans="1:27" x14ac:dyDescent="0.2">
      <c r="AA76" s="65"/>
    </row>
    <row r="77" spans="1:27" x14ac:dyDescent="0.2">
      <c r="AA77" s="65"/>
    </row>
    <row r="78" spans="1:27" x14ac:dyDescent="0.2">
      <c r="AA78" s="65"/>
    </row>
    <row r="79" spans="1:27" x14ac:dyDescent="0.2">
      <c r="AA79" s="65"/>
    </row>
    <row r="80" spans="1:27" x14ac:dyDescent="0.2">
      <c r="AA80" s="65"/>
    </row>
    <row r="81" spans="27:27" x14ac:dyDescent="0.2">
      <c r="AA81" s="65"/>
    </row>
    <row r="82" spans="27:27" x14ac:dyDescent="0.2">
      <c r="AA82" s="65"/>
    </row>
    <row r="83" spans="27:27" x14ac:dyDescent="0.2">
      <c r="AA83" s="65"/>
    </row>
    <row r="84" spans="27:27" x14ac:dyDescent="0.2">
      <c r="AA84" s="65"/>
    </row>
    <row r="85" spans="27:27" x14ac:dyDescent="0.2">
      <c r="AA85" s="65"/>
    </row>
    <row r="86" spans="27:27" x14ac:dyDescent="0.2">
      <c r="AA86" s="65"/>
    </row>
    <row r="87" spans="27:27" x14ac:dyDescent="0.2">
      <c r="AA87" s="65"/>
    </row>
    <row r="88" spans="27:27" x14ac:dyDescent="0.2">
      <c r="AA88" s="65"/>
    </row>
    <row r="89" spans="27:27" x14ac:dyDescent="0.2">
      <c r="AA89" s="65"/>
    </row>
    <row r="90" spans="27:27" x14ac:dyDescent="0.2">
      <c r="AA90" s="65"/>
    </row>
    <row r="91" spans="27:27" x14ac:dyDescent="0.2">
      <c r="AA91" s="65"/>
    </row>
    <row r="92" spans="27:27" x14ac:dyDescent="0.2">
      <c r="AA92" s="65"/>
    </row>
    <row r="93" spans="27:27" x14ac:dyDescent="0.2">
      <c r="AA93" s="65"/>
    </row>
    <row r="94" spans="27:27" x14ac:dyDescent="0.2">
      <c r="AA94" s="65"/>
    </row>
    <row r="95" spans="27:27" x14ac:dyDescent="0.2">
      <c r="AA95" s="65"/>
    </row>
    <row r="96" spans="27:27" x14ac:dyDescent="0.2">
      <c r="AA96" s="65"/>
    </row>
    <row r="97" spans="27:27" x14ac:dyDescent="0.2">
      <c r="AA97" s="65"/>
    </row>
    <row r="98" spans="27:27" x14ac:dyDescent="0.2">
      <c r="AA98" s="65"/>
    </row>
    <row r="99" spans="27:27" x14ac:dyDescent="0.2">
      <c r="AA99" s="65"/>
    </row>
    <row r="100" spans="27:27" x14ac:dyDescent="0.2">
      <c r="AA100" s="65"/>
    </row>
  </sheetData>
  <sortState ref="A57:AE64">
    <sortCondition descending="1" ref="B57:B64"/>
  </sortState>
  <mergeCells count="40">
    <mergeCell ref="N36:O36"/>
    <mergeCell ref="Q36:Q37"/>
    <mergeCell ref="R36:R37"/>
    <mergeCell ref="S36:V36"/>
    <mergeCell ref="A36:A37"/>
    <mergeCell ref="B36:B37"/>
    <mergeCell ref="C36:E36"/>
    <mergeCell ref="F36:I36"/>
    <mergeCell ref="J36:K36"/>
    <mergeCell ref="M36:M37"/>
    <mergeCell ref="A19:A20"/>
    <mergeCell ref="B19:B20"/>
    <mergeCell ref="C19:E19"/>
    <mergeCell ref="F19:I19"/>
    <mergeCell ref="A2:A3"/>
    <mergeCell ref="B2:B3"/>
    <mergeCell ref="C2:E2"/>
    <mergeCell ref="F2:I2"/>
    <mergeCell ref="A54:A55"/>
    <mergeCell ref="B54:B55"/>
    <mergeCell ref="C54:E54"/>
    <mergeCell ref="F54:I54"/>
    <mergeCell ref="S2:V2"/>
    <mergeCell ref="J54:K54"/>
    <mergeCell ref="M54:M55"/>
    <mergeCell ref="N19:O19"/>
    <mergeCell ref="M2:M3"/>
    <mergeCell ref="N2:O2"/>
    <mergeCell ref="M19:M20"/>
    <mergeCell ref="J2:K2"/>
    <mergeCell ref="J19:K19"/>
    <mergeCell ref="N54:O54"/>
    <mergeCell ref="Q2:Q3"/>
    <mergeCell ref="R2:R3"/>
    <mergeCell ref="Q54:Q55"/>
    <mergeCell ref="R54:R55"/>
    <mergeCell ref="S54:V54"/>
    <mergeCell ref="Q19:Q20"/>
    <mergeCell ref="R19:R20"/>
    <mergeCell ref="S19:V19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Ausw. Altdorf</vt:lpstr>
    </vt:vector>
  </TitlesOfParts>
  <Company>Kantonale Verwaltung 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Zurfluh</dc:creator>
  <cp:lastModifiedBy>Zurfluh Adrian</cp:lastModifiedBy>
  <dcterms:created xsi:type="dcterms:W3CDTF">2008-04-15T07:17:48Z</dcterms:created>
  <dcterms:modified xsi:type="dcterms:W3CDTF">2020-05-06T14:46:41Z</dcterms:modified>
</cp:coreProperties>
</file>
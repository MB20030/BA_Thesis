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DieseArbeitsmappe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oritz\Desktop\HSG\BA\BA_Thesis\data\datasets\uri\"/>
    </mc:Choice>
  </mc:AlternateContent>
  <xr:revisionPtr revIDLastSave="0" documentId="8_{403E22BD-BBA4-4E90-A6B8-7F33B8990F1C}" xr6:coauthVersionLast="47" xr6:coauthVersionMax="47" xr10:uidLastSave="{00000000-0000-0000-0000-000000000000}"/>
  <bookViews>
    <workbookView xWindow="-110" yWindow="-110" windowWidth="19420" windowHeight="11500" tabRatio="767" firstSheet="3" activeTab="7" xr2:uid="{00000000-000D-0000-FFFF-FFFF00000000}"/>
  </bookViews>
  <sheets>
    <sheet name="2.2 Kandidaten" sheetId="1" r:id="rId1"/>
    <sheet name="Kandidaten Jahre 1992 - 2020" sheetId="2" r:id="rId2"/>
    <sheet name="3 Stimmbeteiligung" sheetId="3" r:id="rId3"/>
    <sheet name="6 Gültige WZ" sheetId="4" r:id="rId4"/>
    <sheet name="6 Anteil unverändert Parteien" sheetId="5" r:id="rId5"/>
    <sheet name="6.2 Freie Listen" sheetId="6" r:id="rId6"/>
    <sheet name="6.2.1 Freie Liste - Verteilung" sheetId="7" r:id="rId7"/>
    <sheet name="722 Verteilung Gden" sheetId="12" r:id="rId8"/>
    <sheet name="8.1 Panaschieren" sheetId="11" r:id="rId9"/>
    <sheet name="8.2 Kumulieren" sheetId="16" r:id="rId10"/>
    <sheet name="8.3 Kumulierung fremde Listen" sheetId="18" r:id="rId11"/>
    <sheet name="9 Wahlresultate pro Person" sheetId="19" r:id="rId12"/>
    <sheet name="Amtsperioden" sheetId="14" r:id="rId13"/>
    <sheet name="4 Mandatsverteilung" sheetId="13" r:id="rId14"/>
    <sheet name="Tabelle1" sheetId="15" r:id="rId15"/>
  </sheets>
  <definedNames>
    <definedName name="Felb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9" l="1"/>
  <c r="C27" i="7"/>
  <c r="Y18" i="4"/>
  <c r="B18" i="4"/>
  <c r="U46" i="12"/>
  <c r="U38" i="12"/>
  <c r="U37" i="12"/>
  <c r="B63" i="3" l="1"/>
  <c r="J8" i="14"/>
  <c r="K8" i="14"/>
  <c r="N11" i="14"/>
  <c r="O11" i="14"/>
  <c r="BF53" i="19"/>
  <c r="BC53" i="19" s="1"/>
  <c r="BF54" i="19"/>
  <c r="BC54" i="19" s="1"/>
  <c r="BF55" i="19"/>
  <c r="BC55" i="19" s="1"/>
  <c r="BF56" i="19"/>
  <c r="BC56" i="19" s="1"/>
  <c r="BF57" i="19"/>
  <c r="BC57" i="19" s="1"/>
  <c r="BF52" i="19"/>
  <c r="BC52" i="19" s="1"/>
  <c r="BD59" i="19"/>
  <c r="BE59" i="19"/>
  <c r="AS54" i="19"/>
  <c r="AP54" i="19" s="1"/>
  <c r="AS55" i="19"/>
  <c r="AP55" i="19" s="1"/>
  <c r="AS56" i="19"/>
  <c r="AP56" i="19" s="1"/>
  <c r="AS57" i="19"/>
  <c r="AP57" i="19" s="1"/>
  <c r="AS58" i="19"/>
  <c r="AP58" i="19" s="1"/>
  <c r="AS53" i="19"/>
  <c r="AP53" i="19" s="1"/>
  <c r="AS52" i="19"/>
  <c r="AP52" i="19" s="1"/>
  <c r="AQ60" i="19"/>
  <c r="AR60" i="19"/>
  <c r="Y56" i="16"/>
  <c r="AH56" i="19"/>
  <c r="AE56" i="19"/>
  <c r="AD56" i="19"/>
  <c r="AF53" i="19"/>
  <c r="AC53" i="19" s="1"/>
  <c r="AF54" i="19"/>
  <c r="AC54" i="19" s="1"/>
  <c r="AF52" i="19"/>
  <c r="AC52" i="19" s="1"/>
  <c r="S53" i="19"/>
  <c r="P53" i="19" s="1"/>
  <c r="S54" i="19"/>
  <c r="P54" i="19" s="1"/>
  <c r="S55" i="19"/>
  <c r="P55" i="19" s="1"/>
  <c r="S56" i="19"/>
  <c r="P56" i="19" s="1"/>
  <c r="S57" i="19"/>
  <c r="P57" i="19" s="1"/>
  <c r="S52" i="19"/>
  <c r="P52" i="19" s="1"/>
  <c r="R59" i="19"/>
  <c r="Q59" i="19"/>
  <c r="E60" i="19"/>
  <c r="D60" i="19"/>
  <c r="F53" i="19"/>
  <c r="C53" i="19" s="1"/>
  <c r="C60" i="19" s="1"/>
  <c r="F54" i="19"/>
  <c r="C54" i="19" s="1"/>
  <c r="F55" i="19"/>
  <c r="C55" i="19" s="1"/>
  <c r="F56" i="19"/>
  <c r="C56" i="19" s="1"/>
  <c r="F57" i="19"/>
  <c r="C57" i="19" s="1"/>
  <c r="F58" i="19"/>
  <c r="C58" i="19" s="1"/>
  <c r="F52" i="19"/>
  <c r="C52" i="19" s="1"/>
  <c r="BF42" i="19"/>
  <c r="BC42" i="19" s="1"/>
  <c r="BF43" i="19"/>
  <c r="BF44" i="19"/>
  <c r="BC44" i="19" s="1"/>
  <c r="BF41" i="19"/>
  <c r="BC41" i="19" s="1"/>
  <c r="BE46" i="19"/>
  <c r="BD46" i="19"/>
  <c r="AR46" i="19"/>
  <c r="AQ46" i="19"/>
  <c r="AS42" i="19"/>
  <c r="AP42" i="19" s="1"/>
  <c r="AP46" i="19" s="1"/>
  <c r="AS43" i="19"/>
  <c r="AP43" i="19" s="1"/>
  <c r="AS44" i="19"/>
  <c r="AP44" i="19" s="1"/>
  <c r="AS41" i="19"/>
  <c r="AP41" i="19" s="1"/>
  <c r="R45" i="19"/>
  <c r="S45" i="19"/>
  <c r="Q45" i="19"/>
  <c r="S43" i="19"/>
  <c r="P43" i="19" s="1"/>
  <c r="S42" i="19"/>
  <c r="P42" i="19" s="1"/>
  <c r="S41" i="19"/>
  <c r="P41" i="19" s="1"/>
  <c r="F42" i="19"/>
  <c r="C42" i="19" s="1"/>
  <c r="F43" i="19"/>
  <c r="C43" i="19" s="1"/>
  <c r="F44" i="19"/>
  <c r="C44" i="19" s="1"/>
  <c r="F41" i="19"/>
  <c r="E46" i="19"/>
  <c r="D46" i="19"/>
  <c r="BE32" i="19"/>
  <c r="BD32" i="19"/>
  <c r="BF28" i="19"/>
  <c r="BC28" i="19" s="1"/>
  <c r="BF29" i="19"/>
  <c r="BC29" i="19" s="1"/>
  <c r="BF30" i="19"/>
  <c r="BC30" i="19" s="1"/>
  <c r="BF27" i="19"/>
  <c r="BC27" i="19" s="1"/>
  <c r="AR32" i="19"/>
  <c r="AQ32" i="19"/>
  <c r="AS29" i="19"/>
  <c r="AP29" i="19" s="1"/>
  <c r="AS30" i="19"/>
  <c r="AP30" i="19" s="1"/>
  <c r="AS28" i="19"/>
  <c r="AP28" i="19" s="1"/>
  <c r="AS27" i="19"/>
  <c r="AP27" i="19" s="1"/>
  <c r="AE35" i="19"/>
  <c r="AD35" i="19"/>
  <c r="AF29" i="19"/>
  <c r="AC29" i="19" s="1"/>
  <c r="AF30" i="19"/>
  <c r="AC30" i="19" s="1"/>
  <c r="AF31" i="19"/>
  <c r="AC31" i="19" s="1"/>
  <c r="AF32" i="19"/>
  <c r="AC32" i="19" s="1"/>
  <c r="AF33" i="19"/>
  <c r="AC33" i="19" s="1"/>
  <c r="AF28" i="19"/>
  <c r="AC28" i="19" s="1"/>
  <c r="AF27" i="19"/>
  <c r="AC27" i="19" s="1"/>
  <c r="R33" i="19"/>
  <c r="Q33" i="19"/>
  <c r="S28" i="19"/>
  <c r="P28" i="19" s="1"/>
  <c r="S29" i="19"/>
  <c r="P29" i="19" s="1"/>
  <c r="S30" i="19"/>
  <c r="P30" i="19" s="1"/>
  <c r="S31" i="19"/>
  <c r="P31" i="19" s="1"/>
  <c r="S27" i="19"/>
  <c r="P27" i="19" s="1"/>
  <c r="E35" i="19"/>
  <c r="D35" i="19"/>
  <c r="F28" i="19"/>
  <c r="C28" i="19" s="1"/>
  <c r="F29" i="19"/>
  <c r="C29" i="19" s="1"/>
  <c r="F30" i="19"/>
  <c r="C30" i="19" s="1"/>
  <c r="F31" i="19"/>
  <c r="C31" i="19" s="1"/>
  <c r="F32" i="19"/>
  <c r="C32" i="19" s="1"/>
  <c r="F33" i="19"/>
  <c r="C33" i="19" s="1"/>
  <c r="F27" i="19"/>
  <c r="C27" i="19" s="1"/>
  <c r="M6" i="19"/>
  <c r="M8" i="19"/>
  <c r="M11" i="19"/>
  <c r="M12" i="19"/>
  <c r="BE17" i="19"/>
  <c r="BD17" i="19"/>
  <c r="BF7" i="19"/>
  <c r="BC7" i="19" s="1"/>
  <c r="BF8" i="19"/>
  <c r="BC8" i="19" s="1"/>
  <c r="BF9" i="19"/>
  <c r="BC9" i="19" s="1"/>
  <c r="BF10" i="19"/>
  <c r="BC10" i="19" s="1"/>
  <c r="BF11" i="19"/>
  <c r="BC11" i="19" s="1"/>
  <c r="BF12" i="19"/>
  <c r="BC12" i="19" s="1"/>
  <c r="BF13" i="19"/>
  <c r="BC13" i="19" s="1"/>
  <c r="BF14" i="19"/>
  <c r="BC14" i="19" s="1"/>
  <c r="BF15" i="19"/>
  <c r="BC15" i="19" s="1"/>
  <c r="BF6" i="19"/>
  <c r="BC6" i="19" s="1"/>
  <c r="AE19" i="19"/>
  <c r="AD19" i="19"/>
  <c r="AF7" i="19"/>
  <c r="AC7" i="19" s="1"/>
  <c r="AF8" i="19"/>
  <c r="AC8" i="19" s="1"/>
  <c r="AF9" i="19"/>
  <c r="AC9" i="19" s="1"/>
  <c r="AF10" i="19"/>
  <c r="AC10" i="19" s="1"/>
  <c r="AF11" i="19"/>
  <c r="AC11" i="19" s="1"/>
  <c r="AF12" i="19"/>
  <c r="AC12" i="19" s="1"/>
  <c r="AF13" i="19"/>
  <c r="AC13" i="19" s="1"/>
  <c r="AF14" i="19"/>
  <c r="AC14" i="19" s="1"/>
  <c r="AF15" i="19"/>
  <c r="AC15" i="19" s="1"/>
  <c r="AF16" i="19"/>
  <c r="AC16" i="19" s="1"/>
  <c r="AF17" i="19"/>
  <c r="AC17" i="19" s="1"/>
  <c r="AF6" i="19"/>
  <c r="AC6" i="19" s="1"/>
  <c r="T15" i="19"/>
  <c r="R15" i="19"/>
  <c r="Q15" i="19"/>
  <c r="S7" i="19"/>
  <c r="P7" i="19" s="1"/>
  <c r="S8" i="19"/>
  <c r="P8" i="19" s="1"/>
  <c r="S9" i="19"/>
  <c r="P9" i="19" s="1"/>
  <c r="S10" i="19"/>
  <c r="P10" i="19" s="1"/>
  <c r="S11" i="19"/>
  <c r="P11" i="19" s="1"/>
  <c r="S12" i="19"/>
  <c r="P12" i="19" s="1"/>
  <c r="S13" i="19"/>
  <c r="P13" i="19" s="1"/>
  <c r="S6" i="19"/>
  <c r="P6" i="19" s="1"/>
  <c r="AY6" i="19"/>
  <c r="AZ6" i="19" s="1"/>
  <c r="AR16" i="19"/>
  <c r="AQ16" i="19"/>
  <c r="AS7" i="19"/>
  <c r="AP7" i="19" s="1"/>
  <c r="AS8" i="19"/>
  <c r="AP8" i="19" s="1"/>
  <c r="AS9" i="19"/>
  <c r="AP9" i="19" s="1"/>
  <c r="AS10" i="19"/>
  <c r="AP10" i="19" s="1"/>
  <c r="AS11" i="19"/>
  <c r="AP11" i="19" s="1"/>
  <c r="AS12" i="19"/>
  <c r="AP12" i="19" s="1"/>
  <c r="AS13" i="19"/>
  <c r="AP13" i="19" s="1"/>
  <c r="AS14" i="19"/>
  <c r="AP14" i="19" s="1"/>
  <c r="AS6" i="19"/>
  <c r="AP6" i="19" s="1"/>
  <c r="D21" i="19"/>
  <c r="E21" i="19"/>
  <c r="L6" i="19"/>
  <c r="F7" i="19"/>
  <c r="C7" i="19" s="1"/>
  <c r="M7" i="19" s="1"/>
  <c r="F8" i="19"/>
  <c r="C8" i="19" s="1"/>
  <c r="F9" i="19"/>
  <c r="C9" i="19" s="1"/>
  <c r="M9" i="19" s="1"/>
  <c r="F10" i="19"/>
  <c r="C10" i="19" s="1"/>
  <c r="M10" i="19" s="1"/>
  <c r="F11" i="19"/>
  <c r="C11" i="19" s="1"/>
  <c r="F12" i="19"/>
  <c r="C12" i="19" s="1"/>
  <c r="F13" i="19"/>
  <c r="C13" i="19" s="1"/>
  <c r="M13" i="19" s="1"/>
  <c r="F14" i="19"/>
  <c r="C14" i="19" s="1"/>
  <c r="M14" i="19" s="1"/>
  <c r="F15" i="19"/>
  <c r="C15" i="19" s="1"/>
  <c r="M15" i="19" s="1"/>
  <c r="F16" i="19"/>
  <c r="C16" i="19" s="1"/>
  <c r="M16" i="19" s="1"/>
  <c r="F17" i="19"/>
  <c r="C17" i="19" s="1"/>
  <c r="M17" i="19" s="1"/>
  <c r="F18" i="19"/>
  <c r="C18" i="19" s="1"/>
  <c r="M18" i="19" s="1"/>
  <c r="F19" i="19"/>
  <c r="C19" i="19" s="1"/>
  <c r="M19" i="19" s="1"/>
  <c r="F6" i="19"/>
  <c r="AX60" i="19"/>
  <c r="AW60" i="19"/>
  <c r="AV60" i="19"/>
  <c r="AU60" i="19"/>
  <c r="AT60" i="19"/>
  <c r="K60" i="19"/>
  <c r="J60" i="19"/>
  <c r="I60" i="19"/>
  <c r="H60" i="19"/>
  <c r="G60" i="19"/>
  <c r="BK59" i="19"/>
  <c r="BJ59" i="19"/>
  <c r="BI59" i="19"/>
  <c r="BH59" i="19"/>
  <c r="BG59" i="19"/>
  <c r="X59" i="19"/>
  <c r="W59" i="19"/>
  <c r="V59" i="19"/>
  <c r="U59" i="19"/>
  <c r="T59" i="19"/>
  <c r="AY58" i="19"/>
  <c r="L58" i="19"/>
  <c r="M58" i="19" s="1"/>
  <c r="BL57" i="19"/>
  <c r="AY57" i="19"/>
  <c r="Y57" i="19"/>
  <c r="L57" i="19"/>
  <c r="M57" i="19" s="1"/>
  <c r="BL56" i="19"/>
  <c r="AY56" i="19"/>
  <c r="AZ56" i="19" s="1"/>
  <c r="AK56" i="19"/>
  <c r="AJ56" i="19"/>
  <c r="AI56" i="19"/>
  <c r="AG56" i="19"/>
  <c r="Y56" i="19"/>
  <c r="Z56" i="19" s="1"/>
  <c r="L56" i="19"/>
  <c r="BL55" i="19"/>
  <c r="BM55" i="19" s="1"/>
  <c r="AY55" i="19"/>
  <c r="AZ55" i="19" s="1"/>
  <c r="Y55" i="19"/>
  <c r="Z55" i="19" s="1"/>
  <c r="L55" i="19"/>
  <c r="M55" i="19" s="1"/>
  <c r="BL54" i="19"/>
  <c r="BM54" i="19" s="1"/>
  <c r="AY54" i="19"/>
  <c r="AZ54" i="19" s="1"/>
  <c r="AL54" i="19"/>
  <c r="Y54" i="19"/>
  <c r="L54" i="19"/>
  <c r="M54" i="19" s="1"/>
  <c r="BL53" i="19"/>
  <c r="BM53" i="19" s="1"/>
  <c r="AY53" i="19"/>
  <c r="AL53" i="19"/>
  <c r="Y53" i="19"/>
  <c r="Z53" i="19" s="1"/>
  <c r="L53" i="19"/>
  <c r="BL52" i="19"/>
  <c r="BM52" i="19" s="1"/>
  <c r="AY52" i="19"/>
  <c r="AZ52" i="19" s="1"/>
  <c r="AL52" i="19"/>
  <c r="Y52" i="19"/>
  <c r="L52" i="19"/>
  <c r="BK46" i="19"/>
  <c r="BJ46" i="19"/>
  <c r="BH46" i="19"/>
  <c r="BG46" i="19"/>
  <c r="AX46" i="19"/>
  <c r="AW46" i="19"/>
  <c r="AU46" i="19"/>
  <c r="AT46" i="19"/>
  <c r="K46" i="19"/>
  <c r="J46" i="19"/>
  <c r="I46" i="19"/>
  <c r="G46" i="19"/>
  <c r="X45" i="19"/>
  <c r="W45" i="19"/>
  <c r="V45" i="19"/>
  <c r="T45" i="19"/>
  <c r="P45" i="19"/>
  <c r="BL44" i="19"/>
  <c r="BM44" i="19" s="1"/>
  <c r="AY44" i="19"/>
  <c r="AZ44" i="19" s="1"/>
  <c r="L44" i="19"/>
  <c r="BL43" i="19"/>
  <c r="AY43" i="19"/>
  <c r="Y43" i="19"/>
  <c r="Z43" i="19" s="1"/>
  <c r="L43" i="19"/>
  <c r="M43" i="19" s="1"/>
  <c r="BL42" i="19"/>
  <c r="AY42" i="19"/>
  <c r="Y42" i="19"/>
  <c r="Z42" i="19" s="1"/>
  <c r="L42" i="19"/>
  <c r="BL41" i="19"/>
  <c r="AY41" i="19"/>
  <c r="AZ41" i="19" s="1"/>
  <c r="Y41" i="19"/>
  <c r="L41" i="19"/>
  <c r="AK35" i="19"/>
  <c r="AJ35" i="19"/>
  <c r="AI35" i="19"/>
  <c r="AH35" i="19"/>
  <c r="AG35" i="19"/>
  <c r="K35" i="19"/>
  <c r="J35" i="19"/>
  <c r="I35" i="19"/>
  <c r="H35" i="19"/>
  <c r="G35" i="19"/>
  <c r="AL33" i="19"/>
  <c r="X33" i="19"/>
  <c r="W33" i="19"/>
  <c r="V33" i="19"/>
  <c r="U33" i="19"/>
  <c r="T33" i="19"/>
  <c r="P33" i="19"/>
  <c r="L33" i="19"/>
  <c r="M33" i="19" s="1"/>
  <c r="BK32" i="19"/>
  <c r="BJ32" i="19"/>
  <c r="BI32" i="19"/>
  <c r="BH32" i="19"/>
  <c r="BG32" i="19"/>
  <c r="BC32" i="19"/>
  <c r="AX32" i="19"/>
  <c r="AW32" i="19"/>
  <c r="AV32" i="19"/>
  <c r="AU32" i="19"/>
  <c r="AT32" i="19"/>
  <c r="AL32" i="19"/>
  <c r="AM32" i="19" s="1"/>
  <c r="L32" i="19"/>
  <c r="AL31" i="19"/>
  <c r="AM31" i="19" s="1"/>
  <c r="Y31" i="19"/>
  <c r="Z31" i="19" s="1"/>
  <c r="L31" i="19"/>
  <c r="M31" i="19" s="1"/>
  <c r="BL30" i="19"/>
  <c r="BM30" i="19" s="1"/>
  <c r="AY30" i="19"/>
  <c r="AZ30" i="19" s="1"/>
  <c r="AL30" i="19"/>
  <c r="Y30" i="19"/>
  <c r="Z30" i="19" s="1"/>
  <c r="L30" i="19"/>
  <c r="M30" i="19" s="1"/>
  <c r="BL29" i="19"/>
  <c r="BM29" i="19" s="1"/>
  <c r="AY29" i="19"/>
  <c r="AZ29" i="19" s="1"/>
  <c r="AL29" i="19"/>
  <c r="AM29" i="19" s="1"/>
  <c r="Y29" i="19"/>
  <c r="L29" i="19"/>
  <c r="M29" i="19" s="1"/>
  <c r="BL28" i="19"/>
  <c r="BM28" i="19" s="1"/>
  <c r="AY28" i="19"/>
  <c r="AL28" i="19"/>
  <c r="Y28" i="19"/>
  <c r="Z28" i="19" s="1"/>
  <c r="L28" i="19"/>
  <c r="BL27" i="19"/>
  <c r="BM27" i="19" s="1"/>
  <c r="AY27" i="19"/>
  <c r="AZ27" i="19" s="1"/>
  <c r="AL27" i="19"/>
  <c r="Y27" i="19"/>
  <c r="L27" i="19"/>
  <c r="K21" i="19"/>
  <c r="J21" i="19"/>
  <c r="I21" i="19"/>
  <c r="H21" i="19"/>
  <c r="G21" i="19"/>
  <c r="AK19" i="19"/>
  <c r="AJ19" i="19"/>
  <c r="AI19" i="19"/>
  <c r="AH19" i="19"/>
  <c r="AG19" i="19"/>
  <c r="L19" i="19"/>
  <c r="L18" i="19"/>
  <c r="BK17" i="19"/>
  <c r="BJ17" i="19"/>
  <c r="BI17" i="19"/>
  <c r="BH17" i="19"/>
  <c r="BG17" i="19"/>
  <c r="AL17" i="19"/>
  <c r="AM17" i="19" s="1"/>
  <c r="L17" i="19"/>
  <c r="AX16" i="19"/>
  <c r="AW16" i="19"/>
  <c r="AV16" i="19"/>
  <c r="AU16" i="19"/>
  <c r="AT16" i="19"/>
  <c r="AL16" i="19"/>
  <c r="L16" i="19"/>
  <c r="BL15" i="19"/>
  <c r="AL15" i="19"/>
  <c r="AM15" i="19" s="1"/>
  <c r="X15" i="19"/>
  <c r="W15" i="19"/>
  <c r="V15" i="19"/>
  <c r="U15" i="19"/>
  <c r="L15" i="19"/>
  <c r="BL14" i="19"/>
  <c r="AY14" i="19"/>
  <c r="AZ14" i="19" s="1"/>
  <c r="AL14" i="19"/>
  <c r="AM14" i="19" s="1"/>
  <c r="L14" i="19"/>
  <c r="BL13" i="19"/>
  <c r="AY13" i="19"/>
  <c r="AZ13" i="19" s="1"/>
  <c r="AL13" i="19"/>
  <c r="AM13" i="19" s="1"/>
  <c r="Y13" i="19"/>
  <c r="Z13" i="19" s="1"/>
  <c r="L13" i="19"/>
  <c r="BL12" i="19"/>
  <c r="AY12" i="19"/>
  <c r="AZ12" i="19" s="1"/>
  <c r="AL12" i="19"/>
  <c r="AM12" i="19" s="1"/>
  <c r="Y12" i="19"/>
  <c r="L12" i="19"/>
  <c r="BL11" i="19"/>
  <c r="BM11" i="19" s="1"/>
  <c r="AY11" i="19"/>
  <c r="AL11" i="19"/>
  <c r="Y11" i="19"/>
  <c r="L11" i="19"/>
  <c r="BL10" i="19"/>
  <c r="BM10" i="19" s="1"/>
  <c r="AY10" i="19"/>
  <c r="AL10" i="19"/>
  <c r="Y10" i="19"/>
  <c r="Z10" i="19" s="1"/>
  <c r="L10" i="19"/>
  <c r="BL9" i="19"/>
  <c r="BM9" i="19" s="1"/>
  <c r="AY9" i="19"/>
  <c r="AZ9" i="19" s="1"/>
  <c r="AL9" i="19"/>
  <c r="AM9" i="19" s="1"/>
  <c r="Y9" i="19"/>
  <c r="Z9" i="19" s="1"/>
  <c r="L9" i="19"/>
  <c r="BL8" i="19"/>
  <c r="AY8" i="19"/>
  <c r="AL8" i="19"/>
  <c r="AM8" i="19" s="1"/>
  <c r="Y8" i="19"/>
  <c r="Z8" i="19" s="1"/>
  <c r="L8" i="19"/>
  <c r="BL7" i="19"/>
  <c r="BM7" i="19" s="1"/>
  <c r="AY7" i="19"/>
  <c r="AL7" i="19"/>
  <c r="AM7" i="19" s="1"/>
  <c r="Y7" i="19"/>
  <c r="L7" i="19"/>
  <c r="BL6" i="19"/>
  <c r="BM6" i="19" s="1"/>
  <c r="AL6" i="19"/>
  <c r="Y6" i="19"/>
  <c r="T53" i="18"/>
  <c r="T54" i="18"/>
  <c r="T55" i="18"/>
  <c r="T56" i="18"/>
  <c r="T57" i="18"/>
  <c r="T59" i="18"/>
  <c r="T52" i="18"/>
  <c r="S53" i="18"/>
  <c r="S54" i="18"/>
  <c r="S55" i="18"/>
  <c r="S56" i="18"/>
  <c r="S57" i="18"/>
  <c r="S59" i="18"/>
  <c r="S52" i="18"/>
  <c r="T42" i="18"/>
  <c r="T43" i="18"/>
  <c r="T44" i="18"/>
  <c r="T46" i="18"/>
  <c r="T41" i="18"/>
  <c r="S42" i="18"/>
  <c r="S43" i="18"/>
  <c r="S44" i="18"/>
  <c r="S46" i="18"/>
  <c r="S41" i="18"/>
  <c r="T28" i="18"/>
  <c r="T29" i="18"/>
  <c r="T30" i="18"/>
  <c r="T32" i="18"/>
  <c r="T27" i="18"/>
  <c r="S28" i="18"/>
  <c r="S29" i="18"/>
  <c r="S30" i="18"/>
  <c r="S32" i="18"/>
  <c r="S27" i="18"/>
  <c r="T7" i="18"/>
  <c r="T8" i="18"/>
  <c r="T9" i="18"/>
  <c r="T10" i="18"/>
  <c r="T11" i="18"/>
  <c r="T12" i="18"/>
  <c r="T13" i="18"/>
  <c r="T14" i="18"/>
  <c r="T15" i="18"/>
  <c r="T17" i="18"/>
  <c r="T6" i="18"/>
  <c r="S7" i="18"/>
  <c r="S8" i="18"/>
  <c r="S9" i="18"/>
  <c r="S10" i="18"/>
  <c r="S11" i="18"/>
  <c r="S12" i="18"/>
  <c r="S13" i="18"/>
  <c r="S14" i="18"/>
  <c r="S15" i="18"/>
  <c r="S17" i="18"/>
  <c r="S6" i="18"/>
  <c r="P60" i="18"/>
  <c r="P52" i="18"/>
  <c r="P54" i="18"/>
  <c r="P55" i="18"/>
  <c r="P56" i="18"/>
  <c r="P57" i="18"/>
  <c r="P58" i="18"/>
  <c r="P53" i="18"/>
  <c r="O52" i="18"/>
  <c r="O54" i="18"/>
  <c r="O55" i="18"/>
  <c r="O56" i="18"/>
  <c r="O57" i="18"/>
  <c r="O58" i="18"/>
  <c r="O53" i="18"/>
  <c r="P42" i="18"/>
  <c r="P43" i="18"/>
  <c r="P44" i="18"/>
  <c r="P46" i="18"/>
  <c r="P41" i="18"/>
  <c r="O42" i="18"/>
  <c r="O43" i="18"/>
  <c r="O44" i="18"/>
  <c r="O46" i="18"/>
  <c r="O41" i="18"/>
  <c r="P28" i="18"/>
  <c r="P29" i="18"/>
  <c r="P30" i="18"/>
  <c r="P32" i="18"/>
  <c r="P27" i="18"/>
  <c r="O28" i="18"/>
  <c r="O29" i="18"/>
  <c r="O30" i="18"/>
  <c r="O32" i="18"/>
  <c r="O27" i="18"/>
  <c r="P7" i="18"/>
  <c r="P8" i="18"/>
  <c r="P9" i="18"/>
  <c r="P10" i="18"/>
  <c r="P11" i="18"/>
  <c r="P12" i="18"/>
  <c r="P13" i="18"/>
  <c r="P14" i="18"/>
  <c r="P16" i="18"/>
  <c r="P6" i="18"/>
  <c r="O7" i="18"/>
  <c r="O8" i="18"/>
  <c r="O9" i="18"/>
  <c r="O10" i="18"/>
  <c r="O11" i="18"/>
  <c r="O12" i="18"/>
  <c r="O13" i="18"/>
  <c r="O14" i="18"/>
  <c r="O16" i="18"/>
  <c r="O6" i="18"/>
  <c r="L56" i="18"/>
  <c r="L52" i="18"/>
  <c r="L53" i="18"/>
  <c r="L54" i="18"/>
  <c r="K56" i="18"/>
  <c r="K52" i="18"/>
  <c r="K53" i="18"/>
  <c r="K54" i="18"/>
  <c r="L27" i="18"/>
  <c r="L28" i="18"/>
  <c r="L30" i="18"/>
  <c r="L31" i="18"/>
  <c r="L32" i="18"/>
  <c r="L33" i="18"/>
  <c r="L35" i="18"/>
  <c r="L29" i="18"/>
  <c r="K27" i="18"/>
  <c r="K28" i="18"/>
  <c r="K30" i="18"/>
  <c r="K31" i="18"/>
  <c r="K32" i="18"/>
  <c r="K33" i="18"/>
  <c r="K35" i="18"/>
  <c r="K29" i="18"/>
  <c r="L7" i="18"/>
  <c r="L8" i="18"/>
  <c r="L9" i="18"/>
  <c r="L10" i="18"/>
  <c r="L11" i="18"/>
  <c r="L12" i="18"/>
  <c r="L13" i="18"/>
  <c r="L14" i="18"/>
  <c r="L15" i="18"/>
  <c r="L16" i="18"/>
  <c r="L17" i="18"/>
  <c r="L19" i="18"/>
  <c r="L6" i="18"/>
  <c r="K7" i="18"/>
  <c r="K8" i="18"/>
  <c r="K9" i="18"/>
  <c r="K10" i="18"/>
  <c r="K11" i="18"/>
  <c r="K12" i="18"/>
  <c r="K13" i="18"/>
  <c r="K14" i="18"/>
  <c r="K15" i="18"/>
  <c r="K16" i="18"/>
  <c r="K17" i="18"/>
  <c r="K19" i="18"/>
  <c r="K6" i="18"/>
  <c r="H53" i="18"/>
  <c r="H54" i="18"/>
  <c r="H55" i="18"/>
  <c r="H56" i="18"/>
  <c r="H57" i="18"/>
  <c r="H59" i="18"/>
  <c r="H52" i="18"/>
  <c r="G53" i="18"/>
  <c r="G54" i="18"/>
  <c r="G55" i="18"/>
  <c r="G56" i="18"/>
  <c r="G57" i="18"/>
  <c r="G59" i="18"/>
  <c r="G52" i="18"/>
  <c r="H42" i="18"/>
  <c r="H43" i="18"/>
  <c r="H45" i="18"/>
  <c r="H41" i="18"/>
  <c r="G42" i="18"/>
  <c r="G43" i="18"/>
  <c r="G45" i="18"/>
  <c r="G41" i="18"/>
  <c r="H28" i="18"/>
  <c r="H29" i="18"/>
  <c r="H30" i="18"/>
  <c r="H31" i="18"/>
  <c r="H33" i="18"/>
  <c r="H27" i="18"/>
  <c r="G28" i="18"/>
  <c r="G29" i="18"/>
  <c r="G30" i="18"/>
  <c r="G31" i="18"/>
  <c r="G33" i="18"/>
  <c r="G27" i="18"/>
  <c r="H7" i="18"/>
  <c r="H8" i="18"/>
  <c r="H9" i="18"/>
  <c r="H10" i="18"/>
  <c r="H11" i="18"/>
  <c r="H12" i="18"/>
  <c r="H13" i="18"/>
  <c r="H15" i="18"/>
  <c r="H6" i="18"/>
  <c r="G7" i="18"/>
  <c r="G8" i="18"/>
  <c r="G9" i="18"/>
  <c r="G10" i="18"/>
  <c r="G11" i="18"/>
  <c r="G12" i="18"/>
  <c r="G13" i="18"/>
  <c r="G15" i="18"/>
  <c r="G6" i="18"/>
  <c r="C53" i="18"/>
  <c r="D53" i="18" s="1"/>
  <c r="C54" i="18"/>
  <c r="D54" i="18" s="1"/>
  <c r="C55" i="18"/>
  <c r="D55" i="18" s="1"/>
  <c r="C56" i="18"/>
  <c r="D56" i="18" s="1"/>
  <c r="C57" i="18"/>
  <c r="D57" i="18" s="1"/>
  <c r="C58" i="18"/>
  <c r="D58" i="18" s="1"/>
  <c r="C60" i="18"/>
  <c r="D60" i="18" s="1"/>
  <c r="C52" i="18"/>
  <c r="D52" i="18" s="1"/>
  <c r="C42" i="18"/>
  <c r="D42" i="18" s="1"/>
  <c r="C43" i="18"/>
  <c r="D43" i="18" s="1"/>
  <c r="C44" i="18"/>
  <c r="D44" i="18" s="1"/>
  <c r="C46" i="18"/>
  <c r="D46" i="18" s="1"/>
  <c r="C41" i="18"/>
  <c r="D41" i="18" s="1"/>
  <c r="C35" i="18"/>
  <c r="D35" i="18" s="1"/>
  <c r="C28" i="18"/>
  <c r="D28" i="18" s="1"/>
  <c r="C29" i="18"/>
  <c r="D29" i="18" s="1"/>
  <c r="C30" i="18"/>
  <c r="D30" i="18" s="1"/>
  <c r="C31" i="18"/>
  <c r="D31" i="18" s="1"/>
  <c r="C32" i="18"/>
  <c r="D32" i="18" s="1"/>
  <c r="C33" i="18"/>
  <c r="D33" i="18" s="1"/>
  <c r="C27" i="18"/>
  <c r="D27" i="18" s="1"/>
  <c r="C21" i="18"/>
  <c r="D21" i="18" s="1"/>
  <c r="C7" i="18"/>
  <c r="D7" i="18" s="1"/>
  <c r="C8" i="18"/>
  <c r="D8" i="18" s="1"/>
  <c r="C9" i="18"/>
  <c r="D9" i="18" s="1"/>
  <c r="C10" i="18"/>
  <c r="D10" i="18" s="1"/>
  <c r="C11" i="18"/>
  <c r="D11" i="18" s="1"/>
  <c r="C12" i="18"/>
  <c r="D12" i="18" s="1"/>
  <c r="C13" i="18"/>
  <c r="D13" i="18" s="1"/>
  <c r="C14" i="18"/>
  <c r="D14" i="18" s="1"/>
  <c r="C15" i="18"/>
  <c r="D15" i="18" s="1"/>
  <c r="C16" i="18"/>
  <c r="D16" i="18" s="1"/>
  <c r="C17" i="18"/>
  <c r="D17" i="18" s="1"/>
  <c r="C18" i="18"/>
  <c r="D18" i="18" s="1"/>
  <c r="C19" i="18"/>
  <c r="D19" i="18" s="1"/>
  <c r="C6" i="18"/>
  <c r="D6" i="18" s="1"/>
  <c r="J8" i="16"/>
  <c r="AV59" i="16"/>
  <c r="AU59" i="16"/>
  <c r="AT59" i="16"/>
  <c r="AS59" i="16"/>
  <c r="AR59" i="16"/>
  <c r="AQ59" i="16"/>
  <c r="AW57" i="16"/>
  <c r="AX57" i="16" s="1"/>
  <c r="AW56" i="16"/>
  <c r="AX56" i="16" s="1"/>
  <c r="AW55" i="16"/>
  <c r="AX55" i="16" s="1"/>
  <c r="AW54" i="16"/>
  <c r="AX54" i="16" s="1"/>
  <c r="AW53" i="16"/>
  <c r="AX53" i="16" s="1"/>
  <c r="AW52" i="16"/>
  <c r="AL60" i="16"/>
  <c r="AK60" i="16"/>
  <c r="AJ60" i="16"/>
  <c r="AI60" i="16"/>
  <c r="AH60" i="16"/>
  <c r="AG60" i="16"/>
  <c r="AM58" i="16"/>
  <c r="AN58" i="16" s="1"/>
  <c r="AM57" i="16"/>
  <c r="AN57" i="16" s="1"/>
  <c r="AM56" i="16"/>
  <c r="AN56" i="16" s="1"/>
  <c r="AM55" i="16"/>
  <c r="AN55" i="16" s="1"/>
  <c r="AM54" i="16"/>
  <c r="AN54" i="16" s="1"/>
  <c r="AM53" i="16"/>
  <c r="AN53" i="16" s="1"/>
  <c r="AM52" i="16"/>
  <c r="AN52" i="16" s="1"/>
  <c r="AB56" i="16"/>
  <c r="AA56" i="16"/>
  <c r="Z56" i="16"/>
  <c r="X56" i="16"/>
  <c r="W56" i="16"/>
  <c r="AC54" i="16"/>
  <c r="AD54" i="16" s="1"/>
  <c r="AD53" i="16"/>
  <c r="AC53" i="16"/>
  <c r="AC52" i="16"/>
  <c r="R59" i="16"/>
  <c r="Q59" i="16"/>
  <c r="P59" i="16"/>
  <c r="O59" i="16"/>
  <c r="N59" i="16"/>
  <c r="M59" i="16"/>
  <c r="S57" i="16"/>
  <c r="T57" i="16" s="1"/>
  <c r="S56" i="16"/>
  <c r="T56" i="16" s="1"/>
  <c r="S55" i="16"/>
  <c r="T55" i="16" s="1"/>
  <c r="S54" i="16"/>
  <c r="T54" i="16" s="1"/>
  <c r="S53" i="16"/>
  <c r="T53" i="16" s="1"/>
  <c r="S52" i="16"/>
  <c r="T52" i="16" s="1"/>
  <c r="H60" i="16"/>
  <c r="G60" i="16"/>
  <c r="F60" i="16"/>
  <c r="E60" i="16"/>
  <c r="D60" i="16"/>
  <c r="C60" i="16"/>
  <c r="I58" i="16"/>
  <c r="J58" i="16" s="1"/>
  <c r="I57" i="16"/>
  <c r="J57" i="16" s="1"/>
  <c r="I56" i="16"/>
  <c r="J56" i="16" s="1"/>
  <c r="I55" i="16"/>
  <c r="J55" i="16" s="1"/>
  <c r="I54" i="16"/>
  <c r="J54" i="16" s="1"/>
  <c r="I53" i="16"/>
  <c r="J53" i="16" s="1"/>
  <c r="I52" i="16"/>
  <c r="J52" i="16" s="1"/>
  <c r="AV46" i="16"/>
  <c r="AU46" i="16"/>
  <c r="AS46" i="16"/>
  <c r="AR46" i="16"/>
  <c r="AQ46" i="16"/>
  <c r="AW44" i="16"/>
  <c r="AX44" i="16" s="1"/>
  <c r="AW43" i="16"/>
  <c r="AX43" i="16" s="1"/>
  <c r="AW42" i="16"/>
  <c r="AX42" i="16" s="1"/>
  <c r="AW41" i="16"/>
  <c r="AI46" i="16"/>
  <c r="AL46" i="16"/>
  <c r="AK46" i="16"/>
  <c r="AH46" i="16"/>
  <c r="AG46" i="16"/>
  <c r="AM44" i="16"/>
  <c r="AN44" i="16" s="1"/>
  <c r="AM43" i="16"/>
  <c r="AN43" i="16" s="1"/>
  <c r="AM42" i="16"/>
  <c r="AN42" i="16" s="1"/>
  <c r="AM41" i="16"/>
  <c r="AN41" i="16" s="1"/>
  <c r="R45" i="16"/>
  <c r="Q45" i="16"/>
  <c r="P45" i="16"/>
  <c r="N45" i="16"/>
  <c r="M45" i="16"/>
  <c r="S43" i="16"/>
  <c r="T43" i="16" s="1"/>
  <c r="S42" i="16"/>
  <c r="T42" i="16" s="1"/>
  <c r="S41" i="16"/>
  <c r="H46" i="16"/>
  <c r="G46" i="16"/>
  <c r="F46" i="16"/>
  <c r="D46" i="16"/>
  <c r="C46" i="16"/>
  <c r="I44" i="16"/>
  <c r="J44" i="16" s="1"/>
  <c r="I43" i="16"/>
  <c r="J43" i="16" s="1"/>
  <c r="I42" i="16"/>
  <c r="J42" i="16" s="1"/>
  <c r="I41" i="16"/>
  <c r="J41" i="16" s="1"/>
  <c r="AV32" i="16"/>
  <c r="AU32" i="16"/>
  <c r="AT32" i="16"/>
  <c r="AS32" i="16"/>
  <c r="AR32" i="16"/>
  <c r="AQ32" i="16"/>
  <c r="AW30" i="16"/>
  <c r="AX30" i="16" s="1"/>
  <c r="AW29" i="16"/>
  <c r="AX29" i="16" s="1"/>
  <c r="AW28" i="16"/>
  <c r="AX28" i="16" s="1"/>
  <c r="AW27" i="16"/>
  <c r="AL32" i="16"/>
  <c r="AK32" i="16"/>
  <c r="AJ32" i="16"/>
  <c r="AI32" i="16"/>
  <c r="AH32" i="16"/>
  <c r="AG32" i="16"/>
  <c r="AM30" i="16"/>
  <c r="AN30" i="16" s="1"/>
  <c r="AM29" i="16"/>
  <c r="AN29" i="16" s="1"/>
  <c r="AM28" i="16"/>
  <c r="AN28" i="16" s="1"/>
  <c r="AM27" i="16"/>
  <c r="AN27" i="16" s="1"/>
  <c r="AB35" i="16"/>
  <c r="AA35" i="16"/>
  <c r="Z35" i="16"/>
  <c r="Y35" i="16"/>
  <c r="X35" i="16"/>
  <c r="W35" i="16"/>
  <c r="AC33" i="16"/>
  <c r="AD33" i="16" s="1"/>
  <c r="AC32" i="16"/>
  <c r="AD32" i="16" s="1"/>
  <c r="AC31" i="16"/>
  <c r="AD31" i="16" s="1"/>
  <c r="AC30" i="16"/>
  <c r="AD30" i="16" s="1"/>
  <c r="AC29" i="16"/>
  <c r="AD29" i="16" s="1"/>
  <c r="AC28" i="16"/>
  <c r="AD28" i="16" s="1"/>
  <c r="AC27" i="16"/>
  <c r="AD27" i="16" s="1"/>
  <c r="R33" i="16"/>
  <c r="Q33" i="16"/>
  <c r="P33" i="16"/>
  <c r="O33" i="16"/>
  <c r="N33" i="16"/>
  <c r="M33" i="16"/>
  <c r="S31" i="16"/>
  <c r="T31" i="16" s="1"/>
  <c r="S30" i="16"/>
  <c r="T30" i="16" s="1"/>
  <c r="S29" i="16"/>
  <c r="T29" i="16" s="1"/>
  <c r="S28" i="16"/>
  <c r="T28" i="16" s="1"/>
  <c r="S27" i="16"/>
  <c r="T27" i="16" s="1"/>
  <c r="C35" i="16"/>
  <c r="H35" i="16"/>
  <c r="G35" i="16"/>
  <c r="F35" i="16"/>
  <c r="E35" i="16"/>
  <c r="D35" i="16"/>
  <c r="I33" i="16"/>
  <c r="J33" i="16" s="1"/>
  <c r="I32" i="16"/>
  <c r="J32" i="16" s="1"/>
  <c r="I31" i="16"/>
  <c r="J31" i="16" s="1"/>
  <c r="I30" i="16"/>
  <c r="J30" i="16" s="1"/>
  <c r="I29" i="16"/>
  <c r="J29" i="16" s="1"/>
  <c r="I28" i="16"/>
  <c r="J28" i="16" s="1"/>
  <c r="I27" i="16"/>
  <c r="J27" i="16" s="1"/>
  <c r="AH16" i="16"/>
  <c r="AG16" i="16"/>
  <c r="AV17" i="16"/>
  <c r="AU17" i="16"/>
  <c r="AT17" i="16"/>
  <c r="AS17" i="16"/>
  <c r="AR17" i="16"/>
  <c r="AQ17" i="16"/>
  <c r="AW15" i="16"/>
  <c r="AX15" i="16" s="1"/>
  <c r="AW14" i="16"/>
  <c r="AX14" i="16" s="1"/>
  <c r="AW13" i="16"/>
  <c r="AX13" i="16" s="1"/>
  <c r="AW12" i="16"/>
  <c r="AX12" i="16" s="1"/>
  <c r="AW11" i="16"/>
  <c r="AX11" i="16" s="1"/>
  <c r="AW10" i="16"/>
  <c r="AX10" i="16" s="1"/>
  <c r="AW9" i="16"/>
  <c r="AX9" i="16" s="1"/>
  <c r="AW8" i="16"/>
  <c r="AX8" i="16" s="1"/>
  <c r="AW7" i="16"/>
  <c r="AX7" i="16" s="1"/>
  <c r="AW6" i="16"/>
  <c r="AL16" i="16"/>
  <c r="AK16" i="16"/>
  <c r="AJ16" i="16"/>
  <c r="AI16" i="16"/>
  <c r="AM14" i="16"/>
  <c r="AN14" i="16" s="1"/>
  <c r="AM13" i="16"/>
  <c r="AN13" i="16" s="1"/>
  <c r="AM12" i="16"/>
  <c r="AN12" i="16" s="1"/>
  <c r="AM11" i="16"/>
  <c r="AN11" i="16" s="1"/>
  <c r="AM10" i="16"/>
  <c r="AN10" i="16" s="1"/>
  <c r="AM9" i="16"/>
  <c r="AN9" i="16" s="1"/>
  <c r="AM8" i="16"/>
  <c r="AN8" i="16" s="1"/>
  <c r="AM7" i="16"/>
  <c r="AN7" i="16" s="1"/>
  <c r="AM6" i="16"/>
  <c r="X19" i="16"/>
  <c r="W19" i="16"/>
  <c r="AB19" i="16"/>
  <c r="AA19" i="16"/>
  <c r="Z19" i="16"/>
  <c r="Y19" i="16"/>
  <c r="AC17" i="16"/>
  <c r="AD17" i="16" s="1"/>
  <c r="AC16" i="16"/>
  <c r="AD16" i="16" s="1"/>
  <c r="AC15" i="16"/>
  <c r="AD15" i="16" s="1"/>
  <c r="AC14" i="16"/>
  <c r="AD14" i="16" s="1"/>
  <c r="AC13" i="16"/>
  <c r="AD13" i="16" s="1"/>
  <c r="AC12" i="16"/>
  <c r="AD12" i="16" s="1"/>
  <c r="AC11" i="16"/>
  <c r="AD11" i="16" s="1"/>
  <c r="AC10" i="16"/>
  <c r="AD10" i="16" s="1"/>
  <c r="AC9" i="16"/>
  <c r="AD9" i="16" s="1"/>
  <c r="AC8" i="16"/>
  <c r="AD8" i="16" s="1"/>
  <c r="AC7" i="16"/>
  <c r="AD7" i="16" s="1"/>
  <c r="AC6" i="16"/>
  <c r="AD6" i="16" s="1"/>
  <c r="S6" i="16"/>
  <c r="T6" i="16" s="1"/>
  <c r="O15" i="16"/>
  <c r="P15" i="16"/>
  <c r="Q15" i="16"/>
  <c r="R15" i="16"/>
  <c r="N15" i="16"/>
  <c r="M15" i="16"/>
  <c r="S13" i="16"/>
  <c r="T13" i="16" s="1"/>
  <c r="S12" i="16"/>
  <c r="T12" i="16" s="1"/>
  <c r="S11" i="16"/>
  <c r="T11" i="16" s="1"/>
  <c r="S10" i="16"/>
  <c r="T10" i="16" s="1"/>
  <c r="S9" i="16"/>
  <c r="T9" i="16" s="1"/>
  <c r="S8" i="16"/>
  <c r="T8" i="16" s="1"/>
  <c r="S7" i="16"/>
  <c r="T7" i="16" s="1"/>
  <c r="E21" i="16"/>
  <c r="F21" i="16"/>
  <c r="G21" i="16"/>
  <c r="H21" i="16"/>
  <c r="D21" i="16"/>
  <c r="I7" i="16"/>
  <c r="J7" i="16" s="1"/>
  <c r="I8" i="16"/>
  <c r="I9" i="16"/>
  <c r="J9" i="16" s="1"/>
  <c r="I10" i="16"/>
  <c r="J10" i="16" s="1"/>
  <c r="I11" i="16"/>
  <c r="J11" i="16" s="1"/>
  <c r="I12" i="16"/>
  <c r="J12" i="16" s="1"/>
  <c r="I13" i="16"/>
  <c r="J13" i="16" s="1"/>
  <c r="I14" i="16"/>
  <c r="J14" i="16" s="1"/>
  <c r="I15" i="16"/>
  <c r="J15" i="16" s="1"/>
  <c r="I16" i="16"/>
  <c r="J16" i="16" s="1"/>
  <c r="I17" i="16"/>
  <c r="J17" i="16" s="1"/>
  <c r="I18" i="16"/>
  <c r="J18" i="16" s="1"/>
  <c r="I19" i="16"/>
  <c r="J19" i="16" s="1"/>
  <c r="I6" i="16"/>
  <c r="J6" i="16" s="1"/>
  <c r="C21" i="16"/>
  <c r="U21" i="11"/>
  <c r="U20" i="11"/>
  <c r="V20" i="11" s="1"/>
  <c r="W20" i="11" s="1"/>
  <c r="U19" i="11"/>
  <c r="U18" i="11"/>
  <c r="W55" i="11"/>
  <c r="V60" i="11"/>
  <c r="V58" i="11"/>
  <c r="V57" i="11"/>
  <c r="V56" i="11"/>
  <c r="V55" i="11"/>
  <c r="U55" i="11"/>
  <c r="T58" i="11"/>
  <c r="T57" i="11"/>
  <c r="T56" i="11"/>
  <c r="T55" i="11"/>
  <c r="S58" i="11"/>
  <c r="S57" i="11"/>
  <c r="S56" i="11"/>
  <c r="S55" i="11"/>
  <c r="R56" i="11"/>
  <c r="R55" i="11"/>
  <c r="W46" i="11"/>
  <c r="W45" i="11"/>
  <c r="W42" i="11"/>
  <c r="V48" i="11"/>
  <c r="V46" i="11"/>
  <c r="V45" i="11"/>
  <c r="V44" i="11"/>
  <c r="V43" i="11"/>
  <c r="V42" i="11"/>
  <c r="U44" i="11"/>
  <c r="U42" i="11"/>
  <c r="T46" i="11"/>
  <c r="T45" i="11"/>
  <c r="T42" i="11"/>
  <c r="T44" i="11"/>
  <c r="R46" i="11"/>
  <c r="R45" i="11"/>
  <c r="R44" i="11"/>
  <c r="R42" i="11"/>
  <c r="S46" i="11"/>
  <c r="S45" i="11"/>
  <c r="S44" i="11"/>
  <c r="S42" i="11"/>
  <c r="V35" i="11"/>
  <c r="V33" i="11"/>
  <c r="V32" i="11"/>
  <c r="V31" i="11"/>
  <c r="V30" i="11"/>
  <c r="U35" i="11"/>
  <c r="U33" i="11"/>
  <c r="U32" i="11"/>
  <c r="U31" i="11"/>
  <c r="U30" i="11"/>
  <c r="T35" i="11"/>
  <c r="T33" i="11"/>
  <c r="T32" i="11"/>
  <c r="T31" i="11"/>
  <c r="T30" i="11"/>
  <c r="S35" i="11"/>
  <c r="S33" i="11"/>
  <c r="S32" i="11"/>
  <c r="S31" i="11"/>
  <c r="S30" i="11"/>
  <c r="R35" i="11"/>
  <c r="R33" i="11"/>
  <c r="R32" i="11"/>
  <c r="R31" i="11"/>
  <c r="R30" i="11"/>
  <c r="V21" i="11"/>
  <c r="V19" i="11"/>
  <c r="V18" i="11"/>
  <c r="W18" i="11" s="1"/>
  <c r="T20" i="11"/>
  <c r="T18" i="11"/>
  <c r="T21" i="11"/>
  <c r="T19" i="11"/>
  <c r="S23" i="11"/>
  <c r="R23" i="11"/>
  <c r="S20" i="11"/>
  <c r="S21" i="11"/>
  <c r="S19" i="11"/>
  <c r="S18" i="11"/>
  <c r="R18" i="11"/>
  <c r="U6" i="11"/>
  <c r="T6" i="11"/>
  <c r="F18" i="11"/>
  <c r="J6" i="11"/>
  <c r="V11" i="11"/>
  <c r="V9" i="11"/>
  <c r="V8" i="11"/>
  <c r="V7" i="11"/>
  <c r="V6" i="11"/>
  <c r="I6" i="11"/>
  <c r="S11" i="11"/>
  <c r="S8" i="11"/>
  <c r="S9" i="11"/>
  <c r="S7" i="11"/>
  <c r="S6" i="11"/>
  <c r="T7" i="11"/>
  <c r="F7" i="11"/>
  <c r="F6" i="11"/>
  <c r="R11" i="11"/>
  <c r="R9" i="11"/>
  <c r="R8" i="11"/>
  <c r="R7" i="11"/>
  <c r="R6" i="11"/>
  <c r="P60" i="11"/>
  <c r="N60" i="11"/>
  <c r="P48" i="11"/>
  <c r="N48" i="11"/>
  <c r="P35" i="11"/>
  <c r="N35" i="11"/>
  <c r="Q23" i="11"/>
  <c r="O23" i="11"/>
  <c r="P23" i="11"/>
  <c r="N23" i="11"/>
  <c r="O11" i="11"/>
  <c r="Q11" i="11"/>
  <c r="P11" i="11"/>
  <c r="N11" i="11"/>
  <c r="D11" i="11"/>
  <c r="C11" i="11"/>
  <c r="O60" i="11"/>
  <c r="O48" i="11"/>
  <c r="M58" i="11"/>
  <c r="M57" i="11"/>
  <c r="W57" i="11" s="1"/>
  <c r="M56" i="11"/>
  <c r="M55" i="11"/>
  <c r="M46" i="11"/>
  <c r="M45" i="11"/>
  <c r="M44" i="11"/>
  <c r="W44" i="11" s="1"/>
  <c r="M42" i="11"/>
  <c r="M33" i="11"/>
  <c r="W33" i="11" s="1"/>
  <c r="M32" i="11"/>
  <c r="M31" i="11"/>
  <c r="W31" i="11" s="1"/>
  <c r="M30" i="11"/>
  <c r="W30" i="11" s="1"/>
  <c r="M21" i="11"/>
  <c r="M20" i="11"/>
  <c r="M19" i="11"/>
  <c r="M18" i="11"/>
  <c r="M9" i="11"/>
  <c r="M8" i="11"/>
  <c r="M7" i="11"/>
  <c r="M6" i="11"/>
  <c r="W6" i="11" s="1"/>
  <c r="B6" i="11"/>
  <c r="Q35" i="11"/>
  <c r="O35" i="11"/>
  <c r="Q60" i="11"/>
  <c r="U58" i="11"/>
  <c r="R58" i="11"/>
  <c r="U57" i="11"/>
  <c r="R57" i="11"/>
  <c r="U56" i="11"/>
  <c r="Q48" i="11"/>
  <c r="U46" i="11"/>
  <c r="U45" i="11"/>
  <c r="R21" i="11"/>
  <c r="R20" i="11"/>
  <c r="R19" i="11"/>
  <c r="U9" i="11"/>
  <c r="T9" i="11"/>
  <c r="U8" i="11"/>
  <c r="T8" i="11"/>
  <c r="U7" i="11"/>
  <c r="S43" i="12"/>
  <c r="Q43" i="12"/>
  <c r="AA38" i="12"/>
  <c r="U39" i="12"/>
  <c r="AA39" i="12"/>
  <c r="U40" i="12"/>
  <c r="AA40" i="12"/>
  <c r="U41" i="12"/>
  <c r="AA41" i="12"/>
  <c r="AB37" i="12" s="1"/>
  <c r="AA37" i="12"/>
  <c r="AT21" i="7"/>
  <c r="AR21" i="7"/>
  <c r="AV23" i="7"/>
  <c r="AP19" i="7"/>
  <c r="AS21" i="7"/>
  <c r="AS18" i="7"/>
  <c r="AQ21" i="7"/>
  <c r="AQ19" i="7"/>
  <c r="AQ18" i="7"/>
  <c r="AP18" i="7"/>
  <c r="AY21" i="7"/>
  <c r="AO18" i="7"/>
  <c r="AN18" i="7"/>
  <c r="AV21" i="7"/>
  <c r="AV20" i="7"/>
  <c r="AV19" i="7"/>
  <c r="AV18" i="7"/>
  <c r="AU20" i="7"/>
  <c r="AR19" i="7"/>
  <c r="AR18" i="7"/>
  <c r="AW21" i="7"/>
  <c r="AW18" i="7"/>
  <c r="AU21" i="7"/>
  <c r="AU18" i="7"/>
  <c r="AT23" i="7"/>
  <c r="AO10" i="7"/>
  <c r="AO21" i="7"/>
  <c r="AO19" i="7"/>
  <c r="AT19" i="7"/>
  <c r="AP21" i="7"/>
  <c r="AP20" i="7"/>
  <c r="AP23" i="7"/>
  <c r="AP5" i="7"/>
  <c r="AN21" i="7"/>
  <c r="AN20" i="7"/>
  <c r="AN19" i="7"/>
  <c r="AS19" i="7" s="1"/>
  <c r="AN5" i="7"/>
  <c r="AK18" i="7"/>
  <c r="AH18" i="7"/>
  <c r="AE18" i="7"/>
  <c r="AB18" i="7"/>
  <c r="Y18" i="7"/>
  <c r="Y19" i="7"/>
  <c r="AD23" i="7"/>
  <c r="AC23" i="7"/>
  <c r="AE21" i="7"/>
  <c r="AE19" i="7"/>
  <c r="Y5" i="7"/>
  <c r="K5" i="7"/>
  <c r="Y6" i="12"/>
  <c r="AA6" i="12"/>
  <c r="X6" i="12"/>
  <c r="W6" i="12"/>
  <c r="S6" i="12"/>
  <c r="R6" i="12"/>
  <c r="Y34" i="12"/>
  <c r="Q8" i="12"/>
  <c r="Q7" i="12"/>
  <c r="Q6" i="12"/>
  <c r="AA34" i="12"/>
  <c r="W34" i="12"/>
  <c r="L62" i="12"/>
  <c r="M57" i="12"/>
  <c r="M58" i="12"/>
  <c r="M59" i="12"/>
  <c r="M60" i="12"/>
  <c r="M56" i="12"/>
  <c r="M51" i="12"/>
  <c r="M53" i="12"/>
  <c r="M54" i="12"/>
  <c r="M50" i="12"/>
  <c r="M45" i="12"/>
  <c r="M46" i="12"/>
  <c r="M47" i="12"/>
  <c r="M48" i="12"/>
  <c r="M44" i="12"/>
  <c r="M39" i="12"/>
  <c r="M40" i="12"/>
  <c r="M41" i="12"/>
  <c r="M42" i="12"/>
  <c r="M38" i="12"/>
  <c r="J62" i="12"/>
  <c r="K60" i="12"/>
  <c r="K59" i="12"/>
  <c r="K57" i="12"/>
  <c r="K56" i="12"/>
  <c r="K54" i="12"/>
  <c r="K53" i="12"/>
  <c r="K51" i="12"/>
  <c r="K50" i="12"/>
  <c r="K48" i="12"/>
  <c r="K47" i="12"/>
  <c r="K45" i="12"/>
  <c r="K44" i="12"/>
  <c r="K42" i="12"/>
  <c r="K41" i="12"/>
  <c r="K39" i="12"/>
  <c r="K38" i="12"/>
  <c r="M7" i="12"/>
  <c r="F62" i="12"/>
  <c r="F27" i="12"/>
  <c r="G57" i="12"/>
  <c r="M21" i="7" s="1"/>
  <c r="G58" i="12"/>
  <c r="O21" i="7" s="1"/>
  <c r="G59" i="12"/>
  <c r="Q21" i="7" s="1"/>
  <c r="G60" i="12"/>
  <c r="S21" i="7" s="1"/>
  <c r="G56" i="12"/>
  <c r="K21" i="7" s="1"/>
  <c r="G51" i="12"/>
  <c r="M20" i="7" s="1"/>
  <c r="O20" i="7"/>
  <c r="G53" i="12"/>
  <c r="Q20" i="7" s="1"/>
  <c r="G54" i="12"/>
  <c r="S20" i="7" s="1"/>
  <c r="G50" i="12"/>
  <c r="K20" i="7" s="1"/>
  <c r="G45" i="12"/>
  <c r="M19" i="7" s="1"/>
  <c r="G46" i="12"/>
  <c r="O19" i="7" s="1"/>
  <c r="G47" i="12"/>
  <c r="Q19" i="7" s="1"/>
  <c r="G48" i="12"/>
  <c r="S19" i="7" s="1"/>
  <c r="G44" i="12"/>
  <c r="K19" i="7" s="1"/>
  <c r="G39" i="12"/>
  <c r="M18" i="7" s="1"/>
  <c r="G40" i="12"/>
  <c r="O18" i="7" s="1"/>
  <c r="G41" i="12"/>
  <c r="Q18" i="7" s="1"/>
  <c r="G42" i="12"/>
  <c r="S18" i="7" s="1"/>
  <c r="G38" i="12"/>
  <c r="K18" i="7" s="1"/>
  <c r="D62" i="12"/>
  <c r="H62" i="12"/>
  <c r="D23" i="7"/>
  <c r="E23" i="7"/>
  <c r="F23" i="7"/>
  <c r="G23" i="7"/>
  <c r="C23" i="7"/>
  <c r="B21" i="7"/>
  <c r="H21" i="7" s="1"/>
  <c r="B20" i="7"/>
  <c r="H20" i="7" s="1"/>
  <c r="B19" i="7"/>
  <c r="R19" i="7" s="1"/>
  <c r="B18" i="7"/>
  <c r="R18" i="7" s="1"/>
  <c r="AJ23" i="7"/>
  <c r="AI23" i="7"/>
  <c r="AI24" i="7" s="1"/>
  <c r="AG23" i="7"/>
  <c r="AF23" i="7"/>
  <c r="AF24" i="7" s="1"/>
  <c r="AA23" i="7"/>
  <c r="Z23" i="7"/>
  <c r="Z24" i="7" s="1"/>
  <c r="X23" i="7"/>
  <c r="W23" i="7"/>
  <c r="W24" i="7" s="1"/>
  <c r="AK21" i="7"/>
  <c r="AH21" i="7"/>
  <c r="AB21" i="7"/>
  <c r="Y21" i="7"/>
  <c r="AT20" i="7"/>
  <c r="AK20" i="7"/>
  <c r="AH20" i="7"/>
  <c r="AB20" i="7"/>
  <c r="Y20" i="7"/>
  <c r="AK19" i="7"/>
  <c r="AH19" i="7"/>
  <c r="AB19" i="7"/>
  <c r="AT18" i="7"/>
  <c r="O11" i="6"/>
  <c r="Y29" i="4"/>
  <c r="Y28" i="4"/>
  <c r="P6" i="6"/>
  <c r="P11" i="6"/>
  <c r="Q11" i="6" s="1"/>
  <c r="Q7" i="6"/>
  <c r="Q8" i="6"/>
  <c r="Q9" i="6"/>
  <c r="S11" i="6"/>
  <c r="S9" i="6"/>
  <c r="S8" i="6"/>
  <c r="S7" i="6"/>
  <c r="S6" i="6"/>
  <c r="R11" i="6"/>
  <c r="R8" i="6"/>
  <c r="R9" i="6"/>
  <c r="R7" i="6"/>
  <c r="R6" i="6"/>
  <c r="H6" i="6"/>
  <c r="H9" i="6"/>
  <c r="O7" i="6"/>
  <c r="O6" i="6"/>
  <c r="M11" i="6"/>
  <c r="N11" i="6"/>
  <c r="P7" i="6"/>
  <c r="P8" i="6"/>
  <c r="P9" i="6"/>
  <c r="O8" i="6"/>
  <c r="O9" i="6"/>
  <c r="N7" i="6"/>
  <c r="N8" i="6"/>
  <c r="N9" i="6"/>
  <c r="N6" i="6"/>
  <c r="M7" i="6"/>
  <c r="M8" i="6"/>
  <c r="M9" i="6"/>
  <c r="M6" i="6"/>
  <c r="U10" i="6"/>
  <c r="U8" i="6"/>
  <c r="U7" i="6"/>
  <c r="J6" i="6"/>
  <c r="J5" i="5"/>
  <c r="J4" i="5"/>
  <c r="J7" i="5"/>
  <c r="J6" i="5"/>
  <c r="J3" i="5"/>
  <c r="B19" i="4"/>
  <c r="Y19" i="4" s="1"/>
  <c r="B6" i="4"/>
  <c r="B20" i="4"/>
  <c r="L20" i="4" s="1"/>
  <c r="B21" i="4"/>
  <c r="Y21" i="4" s="1"/>
  <c r="O23" i="4"/>
  <c r="M23" i="4"/>
  <c r="P21" i="4"/>
  <c r="N21" i="4"/>
  <c r="P19" i="4"/>
  <c r="N19" i="4"/>
  <c r="P18" i="4"/>
  <c r="N18" i="4"/>
  <c r="W23" i="4"/>
  <c r="U23" i="4"/>
  <c r="S23" i="4"/>
  <c r="Q23" i="4"/>
  <c r="K23" i="4"/>
  <c r="I23" i="4"/>
  <c r="G23" i="4"/>
  <c r="H23" i="4" s="1"/>
  <c r="E23" i="4"/>
  <c r="C23" i="4"/>
  <c r="D23" i="4" s="1"/>
  <c r="X21" i="4"/>
  <c r="V21" i="4"/>
  <c r="T21" i="4"/>
  <c r="R21" i="4"/>
  <c r="L21" i="4"/>
  <c r="K21" i="4"/>
  <c r="J21" i="4"/>
  <c r="H21" i="4"/>
  <c r="F21" i="4"/>
  <c r="D21" i="4"/>
  <c r="X20" i="4"/>
  <c r="V20" i="4"/>
  <c r="T20" i="4"/>
  <c r="R20" i="4"/>
  <c r="K20" i="4"/>
  <c r="J20" i="4"/>
  <c r="H20" i="4"/>
  <c r="F20" i="4"/>
  <c r="D20" i="4"/>
  <c r="X19" i="4"/>
  <c r="V19" i="4"/>
  <c r="T19" i="4"/>
  <c r="R19" i="4"/>
  <c r="L19" i="4"/>
  <c r="K19" i="4"/>
  <c r="J19" i="4"/>
  <c r="H19" i="4"/>
  <c r="F19" i="4"/>
  <c r="D19" i="4"/>
  <c r="X18" i="4"/>
  <c r="V18" i="4"/>
  <c r="T18" i="4"/>
  <c r="R18" i="4"/>
  <c r="K18" i="4"/>
  <c r="J18" i="4"/>
  <c r="H18" i="4"/>
  <c r="F18" i="4"/>
  <c r="D18" i="4"/>
  <c r="AF10" i="7"/>
  <c r="G25" i="12"/>
  <c r="G24" i="12"/>
  <c r="G23" i="12"/>
  <c r="G22" i="12"/>
  <c r="G20" i="12"/>
  <c r="G19" i="12"/>
  <c r="G18" i="12"/>
  <c r="G17" i="12"/>
  <c r="G15" i="12"/>
  <c r="G14" i="12"/>
  <c r="G13" i="12"/>
  <c r="G12" i="12"/>
  <c r="G10" i="12"/>
  <c r="G9" i="12"/>
  <c r="G8" i="12"/>
  <c r="G7" i="12"/>
  <c r="C7" i="6"/>
  <c r="C8" i="6"/>
  <c r="C9" i="6"/>
  <c r="C6" i="6"/>
  <c r="BM57" i="19" l="1"/>
  <c r="BM56" i="19"/>
  <c r="BC59" i="19"/>
  <c r="AF56" i="19"/>
  <c r="AM54" i="19"/>
  <c r="AC56" i="19"/>
  <c r="AM52" i="19"/>
  <c r="Z57" i="19"/>
  <c r="Z54" i="19"/>
  <c r="P59" i="19"/>
  <c r="Z52" i="19"/>
  <c r="AP60" i="19"/>
  <c r="AZ57" i="19"/>
  <c r="AZ53" i="19"/>
  <c r="M56" i="19"/>
  <c r="M53" i="19"/>
  <c r="M52" i="19"/>
  <c r="BF46" i="19"/>
  <c r="BC43" i="19"/>
  <c r="BC46" i="19" s="1"/>
  <c r="BM42" i="19"/>
  <c r="AS46" i="19"/>
  <c r="AZ43" i="19"/>
  <c r="AZ42" i="19"/>
  <c r="M44" i="19"/>
  <c r="M42" i="19"/>
  <c r="M41" i="19"/>
  <c r="F46" i="19"/>
  <c r="C41" i="19"/>
  <c r="C46" i="19" s="1"/>
  <c r="AM33" i="19"/>
  <c r="AC35" i="19"/>
  <c r="AM30" i="19"/>
  <c r="AM28" i="19"/>
  <c r="AM27" i="19"/>
  <c r="Z29" i="19"/>
  <c r="AP32" i="19"/>
  <c r="AZ28" i="19"/>
  <c r="M32" i="19"/>
  <c r="M28" i="19"/>
  <c r="C35" i="19"/>
  <c r="M27" i="19"/>
  <c r="BM15" i="19"/>
  <c r="BM14" i="19"/>
  <c r="BM13" i="19"/>
  <c r="BM12" i="19"/>
  <c r="BM8" i="19"/>
  <c r="BC17" i="19"/>
  <c r="AM16" i="19"/>
  <c r="AM11" i="19"/>
  <c r="AM10" i="19"/>
  <c r="AC19" i="19"/>
  <c r="AF19" i="19"/>
  <c r="Z12" i="19"/>
  <c r="Z11" i="19"/>
  <c r="P15" i="19"/>
  <c r="Z7" i="19"/>
  <c r="AZ11" i="19"/>
  <c r="AZ10" i="19"/>
  <c r="AZ8" i="19"/>
  <c r="AP16" i="19"/>
  <c r="AZ7" i="19"/>
  <c r="C21" i="19"/>
  <c r="M21" i="19" s="1"/>
  <c r="F21" i="19"/>
  <c r="AU19" i="7"/>
  <c r="AY19" i="7"/>
  <c r="AN23" i="7"/>
  <c r="AW19" i="7"/>
  <c r="AE23" i="7"/>
  <c r="AQ20" i="7"/>
  <c r="AO20" i="7"/>
  <c r="AR23" i="7"/>
  <c r="AQ23" i="7" s="1"/>
  <c r="AW20" i="7"/>
  <c r="AB39" i="12"/>
  <c r="AB40" i="12"/>
  <c r="AB38" i="12"/>
  <c r="V41" i="12"/>
  <c r="S23" i="7" s="1"/>
  <c r="V39" i="12"/>
  <c r="O23" i="7" s="1"/>
  <c r="V38" i="12"/>
  <c r="M23" i="7" s="1"/>
  <c r="V40" i="12"/>
  <c r="Q23" i="7" s="1"/>
  <c r="V37" i="12"/>
  <c r="K23" i="7" s="1"/>
  <c r="U43" i="12"/>
  <c r="BF59" i="19"/>
  <c r="AS60" i="19"/>
  <c r="S59" i="19"/>
  <c r="F60" i="19"/>
  <c r="BF32" i="19"/>
  <c r="AS32" i="19"/>
  <c r="AF35" i="19"/>
  <c r="S33" i="19"/>
  <c r="F35" i="19"/>
  <c r="BF17" i="19"/>
  <c r="S15" i="19"/>
  <c r="AS16" i="19"/>
  <c r="AL56" i="19"/>
  <c r="AM56" i="19" s="1"/>
  <c r="L46" i="19"/>
  <c r="M46" i="19" s="1"/>
  <c r="Y45" i="19"/>
  <c r="Z45" i="19" s="1"/>
  <c r="AL19" i="19"/>
  <c r="Y33" i="19"/>
  <c r="Z33" i="19" s="1"/>
  <c r="AY46" i="19"/>
  <c r="AZ46" i="19" s="1"/>
  <c r="L21" i="19"/>
  <c r="AM6" i="19"/>
  <c r="Z27" i="19"/>
  <c r="AM53" i="19"/>
  <c r="L60" i="19"/>
  <c r="M60" i="19" s="1"/>
  <c r="AY16" i="19"/>
  <c r="BL46" i="19"/>
  <c r="AY60" i="19"/>
  <c r="AZ60" i="19" s="1"/>
  <c r="Y15" i="19"/>
  <c r="BL17" i="19"/>
  <c r="Y59" i="19"/>
  <c r="Z59" i="19" s="1"/>
  <c r="BL59" i="19"/>
  <c r="BM59" i="19" s="1"/>
  <c r="AY32" i="19"/>
  <c r="BL32" i="19"/>
  <c r="BM32" i="19" s="1"/>
  <c r="L35" i="19"/>
  <c r="AL35" i="19"/>
  <c r="AZ58" i="19"/>
  <c r="Z6" i="19"/>
  <c r="Z41" i="19"/>
  <c r="BM41" i="19"/>
  <c r="O60" i="18"/>
  <c r="AW59" i="16"/>
  <c r="AX59" i="16" s="1"/>
  <c r="AX52" i="16"/>
  <c r="AM60" i="16"/>
  <c r="AN60" i="16" s="1"/>
  <c r="AC56" i="16"/>
  <c r="AD56" i="16" s="1"/>
  <c r="AD52" i="16"/>
  <c r="S59" i="16"/>
  <c r="T59" i="16" s="1"/>
  <c r="I60" i="16"/>
  <c r="J60" i="16" s="1"/>
  <c r="AW46" i="16"/>
  <c r="AX46" i="16" s="1"/>
  <c r="AX41" i="16"/>
  <c r="AM46" i="16"/>
  <c r="AN46" i="16" s="1"/>
  <c r="S45" i="16"/>
  <c r="T45" i="16" s="1"/>
  <c r="T41" i="16"/>
  <c r="I46" i="16"/>
  <c r="J46" i="16" s="1"/>
  <c r="AW32" i="16"/>
  <c r="AX32" i="16" s="1"/>
  <c r="AX27" i="16"/>
  <c r="AM32" i="16"/>
  <c r="AN32" i="16" s="1"/>
  <c r="AC35" i="16"/>
  <c r="AD35" i="16" s="1"/>
  <c r="S33" i="16"/>
  <c r="T33" i="16" s="1"/>
  <c r="I35" i="16"/>
  <c r="J35" i="16" s="1"/>
  <c r="AM16" i="16"/>
  <c r="AN16" i="16" s="1"/>
  <c r="AW17" i="16"/>
  <c r="AX17" i="16" s="1"/>
  <c r="AX6" i="16"/>
  <c r="AN6" i="16"/>
  <c r="AC19" i="16"/>
  <c r="AD19" i="16" s="1"/>
  <c r="S15" i="16"/>
  <c r="T15" i="16" s="1"/>
  <c r="I21" i="16"/>
  <c r="J21" i="16" s="1"/>
  <c r="S60" i="11"/>
  <c r="S48" i="11"/>
  <c r="M11" i="11"/>
  <c r="W11" i="11" s="1"/>
  <c r="M23" i="11"/>
  <c r="M35" i="11"/>
  <c r="W35" i="11" s="1"/>
  <c r="M48" i="11"/>
  <c r="W48" i="11" s="1"/>
  <c r="M60" i="11"/>
  <c r="W60" i="11" s="1"/>
  <c r="T23" i="11"/>
  <c r="U48" i="11"/>
  <c r="U23" i="11"/>
  <c r="V23" i="11" s="1"/>
  <c r="R60" i="11"/>
  <c r="T60" i="11"/>
  <c r="W8" i="11"/>
  <c r="T11" i="11"/>
  <c r="T48" i="11"/>
  <c r="W7" i="11"/>
  <c r="R48" i="11"/>
  <c r="U60" i="11"/>
  <c r="W58" i="11"/>
  <c r="W19" i="11"/>
  <c r="W21" i="11"/>
  <c r="U11" i="11"/>
  <c r="W9" i="11"/>
  <c r="W56" i="11"/>
  <c r="AB41" i="12"/>
  <c r="AY18" i="7"/>
  <c r="AB23" i="7"/>
  <c r="Y23" i="7"/>
  <c r="AH23" i="7"/>
  <c r="AC24" i="7"/>
  <c r="AK23" i="7"/>
  <c r="T19" i="7"/>
  <c r="P19" i="7"/>
  <c r="T20" i="7"/>
  <c r="N18" i="7"/>
  <c r="L19" i="7"/>
  <c r="L20" i="7"/>
  <c r="T18" i="7"/>
  <c r="P18" i="7"/>
  <c r="N19" i="7"/>
  <c r="P21" i="7"/>
  <c r="L18" i="7"/>
  <c r="R21" i="7"/>
  <c r="P20" i="7"/>
  <c r="H18" i="7"/>
  <c r="B23" i="7"/>
  <c r="R23" i="7" s="1"/>
  <c r="H19" i="7"/>
  <c r="Y43" i="12"/>
  <c r="AA43" i="12"/>
  <c r="W43" i="12"/>
  <c r="R20" i="7"/>
  <c r="N20" i="7"/>
  <c r="N21" i="7"/>
  <c r="T21" i="7"/>
  <c r="L21" i="7"/>
  <c r="Q6" i="6"/>
  <c r="U9" i="6"/>
  <c r="U11" i="6"/>
  <c r="U6" i="6"/>
  <c r="V23" i="4"/>
  <c r="N23" i="4"/>
  <c r="Y20" i="4"/>
  <c r="B23" i="4"/>
  <c r="L23" i="4" s="1"/>
  <c r="J23" i="4"/>
  <c r="F23" i="4"/>
  <c r="X23" i="4"/>
  <c r="R23" i="4"/>
  <c r="L18" i="4"/>
  <c r="P23" i="4"/>
  <c r="T23" i="4"/>
  <c r="E45" i="3"/>
  <c r="BM46" i="19" l="1"/>
  <c r="BM43" i="19"/>
  <c r="AM35" i="19"/>
  <c r="AZ32" i="19"/>
  <c r="M35" i="19"/>
  <c r="BM17" i="19"/>
  <c r="AM19" i="19"/>
  <c r="Z15" i="19"/>
  <c r="AZ16" i="19"/>
  <c r="AY20" i="7"/>
  <c r="AO23" i="7"/>
  <c r="AU23" i="7"/>
  <c r="AS23" i="7"/>
  <c r="AW23" i="7"/>
  <c r="W23" i="11"/>
  <c r="N23" i="7"/>
  <c r="H23" i="7"/>
  <c r="P23" i="7"/>
  <c r="L23" i="7"/>
  <c r="T23" i="7"/>
  <c r="C10" i="3"/>
  <c r="B10" i="3"/>
  <c r="AV5" i="7" l="1"/>
  <c r="AN6" i="7"/>
  <c r="Y6" i="4"/>
  <c r="B7" i="4"/>
  <c r="Y7" i="4" s="1"/>
  <c r="D7" i="3" l="1"/>
  <c r="D21" i="3"/>
  <c r="H27" i="12"/>
  <c r="J27" i="12"/>
  <c r="C45" i="3" l="1"/>
  <c r="N11" i="2"/>
  <c r="R2" i="14" l="1"/>
  <c r="S2" i="14"/>
  <c r="T2" i="14"/>
  <c r="Q2" i="14"/>
  <c r="E11" i="11" l="1"/>
  <c r="U6" i="12"/>
  <c r="AK5" i="7"/>
  <c r="AT5" i="7"/>
  <c r="AO5" i="7" s="1"/>
  <c r="AB5" i="7"/>
  <c r="AH5" i="7"/>
  <c r="AQ5" i="7" l="1"/>
  <c r="AU5" i="7"/>
  <c r="J10" i="6"/>
  <c r="B7" i="6"/>
  <c r="B6" i="6"/>
  <c r="M33" i="13" l="1"/>
  <c r="L33" i="13"/>
  <c r="M14" i="13"/>
  <c r="L14" i="13"/>
  <c r="J33" i="13"/>
  <c r="I33" i="13"/>
  <c r="J14" i="13"/>
  <c r="I14" i="13"/>
  <c r="G33" i="13"/>
  <c r="F33" i="13"/>
  <c r="G14" i="13"/>
  <c r="F14" i="13"/>
  <c r="D33" i="13"/>
  <c r="C33" i="13"/>
  <c r="D14" i="13"/>
  <c r="C14" i="13"/>
  <c r="L35" i="13" l="1"/>
  <c r="M35" i="13"/>
  <c r="I35" i="13"/>
  <c r="J35" i="13"/>
  <c r="F35" i="13"/>
  <c r="G35" i="13"/>
  <c r="D35" i="13"/>
  <c r="C35" i="13"/>
  <c r="M10" i="2"/>
  <c r="L10" i="2"/>
  <c r="L9" i="2"/>
  <c r="M9" i="2"/>
  <c r="J5" i="14"/>
  <c r="K5" i="14" s="1"/>
  <c r="J6" i="14"/>
  <c r="K6" i="14" s="1"/>
  <c r="J7" i="14"/>
  <c r="K7" i="14" s="1"/>
  <c r="J4" i="14"/>
  <c r="K4" i="14" s="1"/>
  <c r="AV8" i="7"/>
  <c r="AV7" i="7"/>
  <c r="AV6" i="7"/>
  <c r="U8" i="12"/>
  <c r="AT8" i="7"/>
  <c r="AT7" i="7"/>
  <c r="AT6" i="7"/>
  <c r="AP8" i="7"/>
  <c r="AP7" i="7"/>
  <c r="AP6" i="7"/>
  <c r="AN8" i="7"/>
  <c r="AN7" i="7"/>
  <c r="AN10" i="7" s="1"/>
  <c r="D5" i="3"/>
  <c r="D6" i="3"/>
  <c r="D15" i="3"/>
  <c r="D8" i="3"/>
  <c r="D12" i="3"/>
  <c r="D16" i="3"/>
  <c r="D17" i="3"/>
  <c r="D18" i="3"/>
  <c r="G7" i="11"/>
  <c r="B58" i="11"/>
  <c r="B57" i="11"/>
  <c r="B56" i="11"/>
  <c r="B55" i="11"/>
  <c r="B46" i="11"/>
  <c r="B45" i="11"/>
  <c r="B44" i="11"/>
  <c r="B42" i="11"/>
  <c r="B21" i="11"/>
  <c r="B20" i="11"/>
  <c r="B19" i="11"/>
  <c r="B18" i="11"/>
  <c r="B9" i="11"/>
  <c r="B8" i="11"/>
  <c r="B8" i="13"/>
  <c r="AA7" i="12"/>
  <c r="AA8" i="12"/>
  <c r="AA9" i="12"/>
  <c r="Y7" i="12"/>
  <c r="Y8" i="12"/>
  <c r="Y9" i="12"/>
  <c r="W7" i="12"/>
  <c r="W8" i="12"/>
  <c r="W9" i="12"/>
  <c r="U7" i="12"/>
  <c r="U9" i="12"/>
  <c r="S7" i="12"/>
  <c r="S8" i="12"/>
  <c r="S9" i="12"/>
  <c r="Q9" i="12"/>
  <c r="AA3" i="12"/>
  <c r="Y3" i="12"/>
  <c r="W3" i="12"/>
  <c r="B7" i="11"/>
  <c r="M25" i="12"/>
  <c r="M24" i="12"/>
  <c r="M23" i="12"/>
  <c r="M22" i="12"/>
  <c r="M20" i="12"/>
  <c r="M19" i="12"/>
  <c r="M18" i="12"/>
  <c r="M17" i="12"/>
  <c r="M15" i="12"/>
  <c r="M14" i="12"/>
  <c r="M13" i="12"/>
  <c r="M12" i="12"/>
  <c r="M10" i="12"/>
  <c r="M9" i="12"/>
  <c r="M8" i="12"/>
  <c r="S8" i="7"/>
  <c r="Q8" i="7"/>
  <c r="M8" i="7"/>
  <c r="K8" i="7"/>
  <c r="S7" i="7"/>
  <c r="Q7" i="7"/>
  <c r="M7" i="7"/>
  <c r="K7" i="7"/>
  <c r="M6" i="7"/>
  <c r="S5" i="7"/>
  <c r="Q5" i="7"/>
  <c r="M5" i="7"/>
  <c r="L27" i="12"/>
  <c r="B7" i="7"/>
  <c r="H7" i="7" s="1"/>
  <c r="B5" i="7"/>
  <c r="L5" i="7" s="1"/>
  <c r="B9" i="4"/>
  <c r="E63" i="3"/>
  <c r="F63" i="3" s="1"/>
  <c r="M11" i="14"/>
  <c r="R4" i="14" s="1"/>
  <c r="S4" i="14"/>
  <c r="P11" i="14"/>
  <c r="T4" i="14" s="1"/>
  <c r="L11" i="14"/>
  <c r="Q4" i="14" s="1"/>
  <c r="W10" i="7"/>
  <c r="AJ10" i="7"/>
  <c r="AI10" i="7"/>
  <c r="AG10" i="7"/>
  <c r="AF11" i="7" s="1"/>
  <c r="AA10" i="7"/>
  <c r="Z10" i="7"/>
  <c r="X10" i="7"/>
  <c r="Y8" i="7"/>
  <c r="Y7" i="7"/>
  <c r="Y6" i="7"/>
  <c r="AB8" i="7"/>
  <c r="AB7" i="7"/>
  <c r="AB6" i="7"/>
  <c r="AK8" i="7"/>
  <c r="AK7" i="7"/>
  <c r="AK6" i="7"/>
  <c r="AH6" i="7"/>
  <c r="AH7" i="7"/>
  <c r="AH8" i="7"/>
  <c r="K11" i="4"/>
  <c r="K7" i="4"/>
  <c r="K8" i="4"/>
  <c r="K9" i="4"/>
  <c r="K6" i="4"/>
  <c r="N14" i="13"/>
  <c r="E14" i="13"/>
  <c r="E33" i="13"/>
  <c r="H33" i="13"/>
  <c r="H14" i="13"/>
  <c r="K33" i="13"/>
  <c r="K14" i="13"/>
  <c r="N33" i="13"/>
  <c r="B33" i="13"/>
  <c r="B35" i="13" s="1"/>
  <c r="L7" i="4"/>
  <c r="B8" i="4"/>
  <c r="B8" i="7"/>
  <c r="H8" i="7" s="1"/>
  <c r="B6" i="7"/>
  <c r="H58" i="11"/>
  <c r="H57" i="11"/>
  <c r="H56" i="11"/>
  <c r="G56" i="11"/>
  <c r="G57" i="11"/>
  <c r="G58" i="11"/>
  <c r="F56" i="11"/>
  <c r="F57" i="11"/>
  <c r="F58" i="11"/>
  <c r="H55" i="11"/>
  <c r="G55" i="11"/>
  <c r="F55" i="11"/>
  <c r="H42" i="11"/>
  <c r="H44" i="11"/>
  <c r="H45" i="11"/>
  <c r="H46" i="11"/>
  <c r="G44" i="11"/>
  <c r="G45" i="11"/>
  <c r="G46" i="11"/>
  <c r="F44" i="11"/>
  <c r="F45" i="11"/>
  <c r="F46" i="11"/>
  <c r="F42" i="11"/>
  <c r="H19" i="11"/>
  <c r="H20" i="11"/>
  <c r="H21" i="11"/>
  <c r="H18" i="11"/>
  <c r="G19" i="11"/>
  <c r="G20" i="11"/>
  <c r="G21" i="11"/>
  <c r="G18" i="11"/>
  <c r="F19" i="11"/>
  <c r="F20" i="11"/>
  <c r="F21" i="11"/>
  <c r="H7" i="11"/>
  <c r="H8" i="11"/>
  <c r="H9" i="11"/>
  <c r="H6" i="11"/>
  <c r="G6" i="11"/>
  <c r="G8" i="11"/>
  <c r="G9" i="11"/>
  <c r="F8" i="11"/>
  <c r="F9" i="11"/>
  <c r="G42" i="11"/>
  <c r="C60" i="11"/>
  <c r="D60" i="11"/>
  <c r="E60" i="11"/>
  <c r="C48" i="11"/>
  <c r="D48" i="11"/>
  <c r="E48" i="11"/>
  <c r="D23" i="11"/>
  <c r="E23" i="11"/>
  <c r="D10" i="7"/>
  <c r="F10" i="7"/>
  <c r="G10" i="7"/>
  <c r="C10" i="7"/>
  <c r="C11" i="6"/>
  <c r="Q11" i="4"/>
  <c r="S11" i="4"/>
  <c r="M11" i="4"/>
  <c r="O11" i="4"/>
  <c r="G11" i="4"/>
  <c r="I11" i="4"/>
  <c r="C11" i="4"/>
  <c r="E11" i="4"/>
  <c r="T9" i="4"/>
  <c r="R9" i="4"/>
  <c r="T8" i="4"/>
  <c r="R8" i="4"/>
  <c r="T7" i="4"/>
  <c r="R7" i="4"/>
  <c r="T6" i="4"/>
  <c r="R6" i="4"/>
  <c r="P9" i="4"/>
  <c r="N9" i="4"/>
  <c r="P8" i="4"/>
  <c r="N8" i="4"/>
  <c r="P7" i="4"/>
  <c r="N7" i="4"/>
  <c r="P6" i="4"/>
  <c r="N6" i="4"/>
  <c r="J9" i="4"/>
  <c r="H9" i="4"/>
  <c r="J8" i="4"/>
  <c r="H8" i="4"/>
  <c r="J7" i="4"/>
  <c r="H7" i="4"/>
  <c r="J6" i="4"/>
  <c r="H6" i="4"/>
  <c r="F7" i="4"/>
  <c r="F8" i="4"/>
  <c r="F9" i="4"/>
  <c r="F6" i="4"/>
  <c r="D7" i="4"/>
  <c r="D8" i="4"/>
  <c r="D9" i="4"/>
  <c r="D6" i="4"/>
  <c r="D1" i="3"/>
  <c r="F50" i="3"/>
  <c r="F51" i="3"/>
  <c r="F52" i="3"/>
  <c r="F54" i="3"/>
  <c r="F57" i="3"/>
  <c r="F58" i="3"/>
  <c r="F59" i="3"/>
  <c r="F60" i="3"/>
  <c r="F61" i="3"/>
  <c r="C29" i="3"/>
  <c r="B29" i="3"/>
  <c r="B31" i="3" s="1"/>
  <c r="F53" i="3"/>
  <c r="F48" i="3"/>
  <c r="F41" i="3"/>
  <c r="F42" i="3"/>
  <c r="F49" i="3"/>
  <c r="F43" i="3"/>
  <c r="F55" i="3"/>
  <c r="F56" i="3"/>
  <c r="D42" i="3"/>
  <c r="D20" i="3"/>
  <c r="D24" i="3"/>
  <c r="D25" i="3"/>
  <c r="D26" i="3"/>
  <c r="J9" i="1"/>
  <c r="I9" i="1"/>
  <c r="H9" i="1"/>
  <c r="G9" i="1"/>
  <c r="F9" i="1"/>
  <c r="E9" i="1"/>
  <c r="D9" i="1"/>
  <c r="C9" i="1"/>
  <c r="L8" i="2"/>
  <c r="M8" i="2"/>
  <c r="M7" i="2"/>
  <c r="L7" i="2"/>
  <c r="M6" i="2"/>
  <c r="L6" i="2"/>
  <c r="M5" i="2"/>
  <c r="L5" i="2"/>
  <c r="K7" i="1"/>
  <c r="K6" i="1"/>
  <c r="K5" i="1"/>
  <c r="K4" i="1"/>
  <c r="L7" i="1"/>
  <c r="L6" i="1"/>
  <c r="L5" i="1"/>
  <c r="L4" i="1"/>
  <c r="B9" i="1"/>
  <c r="D6" i="6"/>
  <c r="H7" i="6"/>
  <c r="D7" i="6"/>
  <c r="L6" i="4"/>
  <c r="AW5" i="7"/>
  <c r="AY5" i="7" s="1"/>
  <c r="B11" i="11" l="1"/>
  <c r="I7" i="11"/>
  <c r="J7" i="11" s="1"/>
  <c r="H5" i="7"/>
  <c r="B10" i="7"/>
  <c r="N10" i="7" s="1"/>
  <c r="W11" i="7"/>
  <c r="AI11" i="7"/>
  <c r="B45" i="3"/>
  <c r="N7" i="2"/>
  <c r="N8" i="2"/>
  <c r="F47" i="3"/>
  <c r="Z11" i="7"/>
  <c r="C38" i="13"/>
  <c r="D38" i="13"/>
  <c r="N10" i="2"/>
  <c r="H11" i="11"/>
  <c r="I57" i="11"/>
  <c r="J57" i="11" s="1"/>
  <c r="I45" i="11"/>
  <c r="J45" i="11" s="1"/>
  <c r="H6" i="7"/>
  <c r="L6" i="7"/>
  <c r="T5" i="7"/>
  <c r="E35" i="13"/>
  <c r="D43" i="3"/>
  <c r="Z9" i="12"/>
  <c r="N8" i="7"/>
  <c r="D41" i="3"/>
  <c r="X9" i="12"/>
  <c r="Q11" i="12"/>
  <c r="AB9" i="12"/>
  <c r="AB10" i="7"/>
  <c r="AK10" i="7"/>
  <c r="R5" i="7"/>
  <c r="H23" i="11"/>
  <c r="F60" i="11"/>
  <c r="F11" i="11"/>
  <c r="I8" i="11"/>
  <c r="J8" i="11" s="1"/>
  <c r="G11" i="11"/>
  <c r="I20" i="11"/>
  <c r="J20" i="11" s="1"/>
  <c r="I19" i="11"/>
  <c r="J19" i="11" s="1"/>
  <c r="I58" i="11"/>
  <c r="J58" i="11" s="1"/>
  <c r="H60" i="11"/>
  <c r="I21" i="11"/>
  <c r="J21" i="11" s="1"/>
  <c r="I56" i="11"/>
  <c r="J56" i="11" s="1"/>
  <c r="AO7" i="7"/>
  <c r="AV10" i="7"/>
  <c r="AH10" i="7"/>
  <c r="Y10" i="7"/>
  <c r="AB8" i="12"/>
  <c r="X7" i="12"/>
  <c r="Y11" i="12"/>
  <c r="X8" i="12"/>
  <c r="Z8" i="12"/>
  <c r="Z7" i="12"/>
  <c r="Z6" i="12"/>
  <c r="B60" i="11"/>
  <c r="R8" i="12"/>
  <c r="R9" i="12"/>
  <c r="AQ8" i="7"/>
  <c r="AU6" i="7"/>
  <c r="AW7" i="7"/>
  <c r="AQ7" i="7"/>
  <c r="AO8" i="7"/>
  <c r="AT10" i="7"/>
  <c r="AU8" i="7"/>
  <c r="AW6" i="7"/>
  <c r="AU7" i="7"/>
  <c r="R6" i="7"/>
  <c r="R8" i="7"/>
  <c r="T8" i="7"/>
  <c r="F7" i="6"/>
  <c r="J7" i="6"/>
  <c r="N5" i="7"/>
  <c r="L8" i="4"/>
  <c r="Y8" i="4"/>
  <c r="B8" i="6" s="1"/>
  <c r="L9" i="4"/>
  <c r="Y9" i="4"/>
  <c r="B9" i="6" s="1"/>
  <c r="N11" i="4"/>
  <c r="I6" i="5" s="1"/>
  <c r="D11" i="4"/>
  <c r="I3" i="5" s="1"/>
  <c r="R11" i="4"/>
  <c r="I7" i="5" s="1"/>
  <c r="J11" i="4"/>
  <c r="H35" i="13"/>
  <c r="K35" i="13"/>
  <c r="N35" i="13"/>
  <c r="F6" i="6"/>
  <c r="R7" i="12"/>
  <c r="AW8" i="7"/>
  <c r="G48" i="11"/>
  <c r="I18" i="11"/>
  <c r="J18" i="11" s="1"/>
  <c r="G60" i="11"/>
  <c r="W11" i="12"/>
  <c r="T7" i="7"/>
  <c r="Q6" i="7"/>
  <c r="AO6" i="7"/>
  <c r="L7" i="7"/>
  <c r="N6" i="2"/>
  <c r="G23" i="11"/>
  <c r="N7" i="7"/>
  <c r="AQ6" i="7"/>
  <c r="F11" i="4"/>
  <c r="P11" i="4"/>
  <c r="C23" i="11"/>
  <c r="F48" i="11"/>
  <c r="I44" i="11"/>
  <c r="J44" i="11" s="1"/>
  <c r="H48" i="11"/>
  <c r="AA11" i="12"/>
  <c r="S6" i="7"/>
  <c r="B48" i="11"/>
  <c r="AP10" i="7"/>
  <c r="AB7" i="12"/>
  <c r="I42" i="11"/>
  <c r="J42" i="11" s="1"/>
  <c r="AB6" i="12"/>
  <c r="N6" i="7"/>
  <c r="R7" i="7"/>
  <c r="N5" i="2"/>
  <c r="H11" i="4"/>
  <c r="I4" i="5" s="1"/>
  <c r="T11" i="4"/>
  <c r="I9" i="11"/>
  <c r="J9" i="11" s="1"/>
  <c r="I46" i="11"/>
  <c r="J46" i="11" s="1"/>
  <c r="I55" i="11"/>
  <c r="J55" i="11" s="1"/>
  <c r="K6" i="7"/>
  <c r="V7" i="12"/>
  <c r="M10" i="7" s="1"/>
  <c r="B23" i="11"/>
  <c r="J11" i="14"/>
  <c r="K11" i="14" s="1"/>
  <c r="D40" i="3"/>
  <c r="C63" i="3"/>
  <c r="N9" i="2"/>
  <c r="F10" i="1"/>
  <c r="H10" i="1"/>
  <c r="K9" i="1"/>
  <c r="J10" i="1"/>
  <c r="L12" i="2"/>
  <c r="D29" i="3"/>
  <c r="F40" i="3"/>
  <c r="B11" i="4"/>
  <c r="L11" i="4" s="1"/>
  <c r="L9" i="1"/>
  <c r="D10" i="1"/>
  <c r="L8" i="7"/>
  <c r="F23" i="11"/>
  <c r="T6" i="7"/>
  <c r="D63" i="3" l="1"/>
  <c r="L10" i="7"/>
  <c r="E38" i="13"/>
  <c r="F45" i="3"/>
  <c r="D45" i="3"/>
  <c r="D9" i="6"/>
  <c r="J9" i="6"/>
  <c r="H8" i="6"/>
  <c r="D8" i="6"/>
  <c r="B11" i="6"/>
  <c r="H11" i="6" s="1"/>
  <c r="AY8" i="7"/>
  <c r="AY7" i="7"/>
  <c r="AY6" i="7"/>
  <c r="I60" i="11"/>
  <c r="J60" i="11" s="1"/>
  <c r="I48" i="11"/>
  <c r="J48" i="11" s="1"/>
  <c r="I11" i="11"/>
  <c r="J11" i="11" s="1"/>
  <c r="I23" i="11"/>
  <c r="J23" i="11" s="1"/>
  <c r="AW10" i="7"/>
  <c r="AQ10" i="7"/>
  <c r="V9" i="12"/>
  <c r="S10" i="7" s="1"/>
  <c r="T7" i="12"/>
  <c r="S11" i="12"/>
  <c r="T6" i="12"/>
  <c r="T8" i="12"/>
  <c r="U11" i="12"/>
  <c r="T9" i="12"/>
  <c r="V6" i="12"/>
  <c r="K10" i="7" s="1"/>
  <c r="AU10" i="7"/>
  <c r="V8" i="12"/>
  <c r="Q10" i="7" s="1"/>
  <c r="T10" i="7"/>
  <c r="R10" i="7"/>
  <c r="L10" i="1"/>
  <c r="M12" i="2"/>
  <c r="N12" i="2" s="1"/>
  <c r="H10" i="7"/>
  <c r="F9" i="6" l="1"/>
  <c r="F8" i="6"/>
  <c r="J8" i="6"/>
  <c r="D11" i="6"/>
  <c r="J11" i="6" l="1"/>
  <c r="F11" i="6"/>
  <c r="D10" i="3" l="1"/>
  <c r="C31" i="3"/>
  <c r="D31" i="3" s="1"/>
</calcChain>
</file>

<file path=xl/sharedStrings.xml><?xml version="1.0" encoding="utf-8"?>
<sst xmlns="http://schemas.openxmlformats.org/spreadsheetml/2006/main" count="1878" uniqueCount="245">
  <si>
    <t>Gemeinde</t>
  </si>
  <si>
    <t>Altdorf</t>
  </si>
  <si>
    <t>Attinghausen</t>
  </si>
  <si>
    <t>Bürglen</t>
  </si>
  <si>
    <t>Erstfeld</t>
  </si>
  <si>
    <t>Flüelen</t>
  </si>
  <si>
    <t>Schattdorf</t>
  </si>
  <si>
    <t>Seedorf</t>
  </si>
  <si>
    <t>Silenen</t>
  </si>
  <si>
    <t>Total</t>
  </si>
  <si>
    <t xml:space="preserve">Sitze </t>
  </si>
  <si>
    <t xml:space="preserve">CVP </t>
  </si>
  <si>
    <t xml:space="preserve">FDP </t>
  </si>
  <si>
    <t xml:space="preserve">SVP </t>
  </si>
  <si>
    <t>davon Frauen</t>
  </si>
  <si>
    <t>Total Kand.</t>
  </si>
  <si>
    <t>Andermatt</t>
  </si>
  <si>
    <t>Jahr</t>
  </si>
  <si>
    <t>CVP</t>
  </si>
  <si>
    <t>FDP</t>
  </si>
  <si>
    <t>SP/Grüne</t>
  </si>
  <si>
    <t>SVP</t>
  </si>
  <si>
    <t>in %</t>
  </si>
  <si>
    <t>Gden.</t>
  </si>
  <si>
    <t>Stimmbeteiligung</t>
  </si>
  <si>
    <t>Göschenen</t>
  </si>
  <si>
    <t>Gurtnellen</t>
  </si>
  <si>
    <t>Hospental</t>
  </si>
  <si>
    <t>Realp</t>
  </si>
  <si>
    <t>Seelisberg</t>
  </si>
  <si>
    <t>Sisikon</t>
  </si>
  <si>
    <t>Spiringen</t>
  </si>
  <si>
    <t>Unterschächen</t>
  </si>
  <si>
    <t>Wassen</t>
  </si>
  <si>
    <t>Bauen</t>
  </si>
  <si>
    <t>Isenthal</t>
  </si>
  <si>
    <t>Alle Proporz-gemeinden</t>
  </si>
  <si>
    <t>Alle Majorz-gemeinden</t>
  </si>
  <si>
    <t>Stille Wahl</t>
  </si>
  <si>
    <t>Gdevers.</t>
  </si>
  <si>
    <t>Stimmbeteiligung Regierungsratswahlen</t>
  </si>
  <si>
    <t>Stimmbet. LR</t>
  </si>
  <si>
    <t>Stimmbet.</t>
  </si>
  <si>
    <t>Stimmber.</t>
  </si>
  <si>
    <t>unverändert</t>
  </si>
  <si>
    <t>verändert</t>
  </si>
  <si>
    <t>abs.</t>
  </si>
  <si>
    <t>%</t>
  </si>
  <si>
    <t>Partei</t>
  </si>
  <si>
    <t>SP/GB</t>
  </si>
  <si>
    <t>Wahlzettel mit Listenbezeichnung</t>
  </si>
  <si>
    <t>Gültige Wahlzettel</t>
  </si>
  <si>
    <t>Freie Listen</t>
  </si>
  <si>
    <t>Kandidatenstimmen</t>
  </si>
  <si>
    <t>Saldo</t>
  </si>
  <si>
    <t>Verluste an</t>
  </si>
  <si>
    <t>Gewinne von</t>
  </si>
  <si>
    <t>Listen-stimmen</t>
  </si>
  <si>
    <t xml:space="preserve">Partei </t>
  </si>
  <si>
    <t>Parteistärke</t>
  </si>
  <si>
    <t>Sitze</t>
  </si>
  <si>
    <t>kontrolle</t>
  </si>
  <si>
    <t>Mandatsverteilung</t>
  </si>
  <si>
    <t>Parteistärke in %</t>
  </si>
  <si>
    <t>Freie Liste in %</t>
  </si>
  <si>
    <t>Zusatzstimmen</t>
  </si>
  <si>
    <t xml:space="preserve">Parteistimmen </t>
  </si>
  <si>
    <t>absolut</t>
  </si>
  <si>
    <t>Total 2008</t>
  </si>
  <si>
    <t>Amts-perioden</t>
  </si>
  <si>
    <t>Neu</t>
  </si>
  <si>
    <t>Aus auswertung 2 rauskopieren</t>
  </si>
  <si>
    <t>Listenstimmen Total</t>
  </si>
  <si>
    <t>Total 2012</t>
  </si>
  <si>
    <t>Anzahl gewählte Frauen Proporzgemeinden</t>
  </si>
  <si>
    <t>Anzahl Frauenkandidaturen</t>
  </si>
  <si>
    <t>Erfolgsquote in %</t>
  </si>
  <si>
    <t>14/15</t>
  </si>
  <si>
    <t>Kandidaten-stimmen</t>
  </si>
  <si>
    <t>Stimmbet. RR</t>
  </si>
  <si>
    <t>ohne</t>
  </si>
  <si>
    <t>leer/ungültig</t>
  </si>
  <si>
    <t>Leere Linien</t>
  </si>
  <si>
    <t>Total 2016</t>
  </si>
  <si>
    <t>Vergleich Wahlen Anzahl Kandidierende in den Proporzgemeinden</t>
  </si>
  <si>
    <t>SP/Grüne/Gew.</t>
  </si>
  <si>
    <t>2020 manuell</t>
  </si>
  <si>
    <t>Total 2020</t>
  </si>
  <si>
    <t>Gültige Wahlzettel mit Listenbezeichnung 2020</t>
  </si>
  <si>
    <t>Gültige Wahlzettel mit Listenbezeichnung 2024</t>
  </si>
  <si>
    <t>GLP</t>
  </si>
  <si>
    <t>Gültige, bezeichnete und freie Listen 2020</t>
  </si>
  <si>
    <t>Gültige, bezeichnete und freie Listen 2024</t>
  </si>
  <si>
    <t>2020 Verteilung der Listenstimmen von Freien Listen auf die Parteien (aus form 3b)</t>
  </si>
  <si>
    <t>2024 Verteilung der Listenstimmen von Freien Listen auf die Parteien (aus form 3b)</t>
  </si>
  <si>
    <t>2024 manuell</t>
  </si>
  <si>
    <t>Zahlen aus Formular 3b (pro Gemeinde) bei Parteistimmen Total (zweithinterste Spalte)</t>
  </si>
  <si>
    <t>fertig</t>
  </si>
  <si>
    <t>Aus Formular 2 (pro Gemeinde)</t>
  </si>
  <si>
    <t>aus Formular 3b --&gt; fertig</t>
  </si>
  <si>
    <t>Name</t>
  </si>
  <si>
    <t>Stimmen</t>
  </si>
  <si>
    <t>FL</t>
  </si>
  <si>
    <t>Kumulierte Kandidatenstimmen auf Listen der</t>
  </si>
  <si>
    <t>Huber Céline</t>
  </si>
  <si>
    <t>Arnold Barengo Michael</t>
  </si>
  <si>
    <t>Keusch Rafael</t>
  </si>
  <si>
    <t>Gisler Kurt</t>
  </si>
  <si>
    <t>Gisler-Bissig Lea</t>
  </si>
  <si>
    <t>Epp-Arnold Regula</t>
  </si>
  <si>
    <t>Dahinden Tobias</t>
  </si>
  <si>
    <t>Cantoni Michael</t>
  </si>
  <si>
    <t>Regli Kathrin</t>
  </si>
  <si>
    <t>Gisler Emilie</t>
  </si>
  <si>
    <t>Gisler Nina</t>
  </si>
  <si>
    <t>Epp Iwan</t>
  </si>
  <si>
    <t>Oechslin Olivia</t>
  </si>
  <si>
    <t>Tarelli Dori</t>
  </si>
  <si>
    <t>Muheim Quick Petra</t>
  </si>
  <si>
    <t>Schillig Ivo</t>
  </si>
  <si>
    <t>Heinzer Andrea</t>
  </si>
  <si>
    <t>Zgraggen Michael</t>
  </si>
  <si>
    <t>Gisler Marcel</t>
  </si>
  <si>
    <t>Weber Angelo</t>
  </si>
  <si>
    <t>Herger-Trüb Isabell</t>
  </si>
  <si>
    <t>Gisler Oliver</t>
  </si>
  <si>
    <t>Altdorf, CVP</t>
  </si>
  <si>
    <t>Baumann Noel</t>
  </si>
  <si>
    <t>Wild Loa</t>
  </si>
  <si>
    <t>Zgraggen Fabian</t>
  </si>
  <si>
    <t>Britschgi Urs</t>
  </si>
  <si>
    <t>Mauri Linda</t>
  </si>
  <si>
    <t>Stadler Valentin</t>
  </si>
  <si>
    <t>Zgraggen Christoph</t>
  </si>
  <si>
    <t>Baumann Remo</t>
  </si>
  <si>
    <t>Regli Seraina</t>
  </si>
  <si>
    <t>Balli Matteo</t>
  </si>
  <si>
    <t>Arnold Jannik</t>
  </si>
  <si>
    <t>Aschwanden Denis</t>
  </si>
  <si>
    <t>Schmidt Valentin</t>
  </si>
  <si>
    <t>Imhof Jonas</t>
  </si>
  <si>
    <t>Arnold Nino</t>
  </si>
  <si>
    <t>Walker Stephanie</t>
  </si>
  <si>
    <t>Ziegler Therese</t>
  </si>
  <si>
    <t>Bissig Jonas</t>
  </si>
  <si>
    <t>Gisler Stefanie</t>
  </si>
  <si>
    <t>Zeugin Dominik</t>
  </si>
  <si>
    <t>Stadler Fabio</t>
  </si>
  <si>
    <t>von Mentlen Michael</t>
  </si>
  <si>
    <t>Brunner Claudia</t>
  </si>
  <si>
    <t>Affentranger Fabio</t>
  </si>
  <si>
    <t>Arnold Stefan</t>
  </si>
  <si>
    <t>Dittli Adrian</t>
  </si>
  <si>
    <t>Furger Heinz</t>
  </si>
  <si>
    <t>Imholz Adrian</t>
  </si>
  <si>
    <t>Jauch Heidi</t>
  </si>
  <si>
    <t>Gisler Loris</t>
  </si>
  <si>
    <t>Jauch Fabian</t>
  </si>
  <si>
    <t>Arnold-Furrer Bernadette</t>
  </si>
  <si>
    <t>Bürglen, CVP</t>
  </si>
  <si>
    <t>Gisler Tobias</t>
  </si>
  <si>
    <t>Baumann Tino</t>
  </si>
  <si>
    <t>Imhof Roman</t>
  </si>
  <si>
    <t>Gisler Franziska</t>
  </si>
  <si>
    <t>Gisler-Walker Karin</t>
  </si>
  <si>
    <t>Danioth Ian</t>
  </si>
  <si>
    <t>Christen-Zarri Miriam</t>
  </si>
  <si>
    <t>Röthlisberger René</t>
  </si>
  <si>
    <t>Herger Ruedi</t>
  </si>
  <si>
    <t>Riedi Karin</t>
  </si>
  <si>
    <t>Seeholzer Christoph</t>
  </si>
  <si>
    <t>Gisler Luzia</t>
  </si>
  <si>
    <t>Schuler Luisa</t>
  </si>
  <si>
    <t>Arnold Daniel</t>
  </si>
  <si>
    <t>Ziegler Zacharias</t>
  </si>
  <si>
    <t>Locher Christoph</t>
  </si>
  <si>
    <t>Müller Josua</t>
  </si>
  <si>
    <t>Chande Binoi</t>
  </si>
  <si>
    <t>Ananthavettivelu Ragunath</t>
  </si>
  <si>
    <t>Wüthrich Martina</t>
  </si>
  <si>
    <t>Kluge Harriet</t>
  </si>
  <si>
    <t>Biasini Hugo</t>
  </si>
  <si>
    <t>Arnold Alois</t>
  </si>
  <si>
    <t>Arnold-Fassbind Alois</t>
  </si>
  <si>
    <t>Gisler Hansueli</t>
  </si>
  <si>
    <t>Arnold Bruno</t>
  </si>
  <si>
    <t>Erstfeld, CVP</t>
  </si>
  <si>
    <t>Epp-Gehrig Carmen</t>
  </si>
  <si>
    <t>Gisler Nino</t>
  </si>
  <si>
    <t>Jaun-Arnold Isabelle</t>
  </si>
  <si>
    <t>Migliozzi Luigi</t>
  </si>
  <si>
    <t>-</t>
  </si>
  <si>
    <t>Tresch Walter</t>
  </si>
  <si>
    <t>Dittli Peter</t>
  </si>
  <si>
    <t>Ziegler Michelle</t>
  </si>
  <si>
    <t>nicht angetreten</t>
  </si>
  <si>
    <t>Läubli Ziegler Sylvia</t>
  </si>
  <si>
    <t>Kieliger Urs</t>
  </si>
  <si>
    <t>Zgraggen Brosi</t>
  </si>
  <si>
    <t>Baumann Renner Edith</t>
  </si>
  <si>
    <t>Schuler Christian</t>
  </si>
  <si>
    <t>Levy Flavian</t>
  </si>
  <si>
    <t>Indergand Michael</t>
  </si>
  <si>
    <t>Alessandri Pascal</t>
  </si>
  <si>
    <t>Schattdorf, CVP</t>
  </si>
  <si>
    <t>Gisler Flavio</t>
  </si>
  <si>
    <t>Furrer Helen</t>
  </si>
  <si>
    <t>Gisler-Arnold Franz</t>
  </si>
  <si>
    <t>Gisler-Tresch Alois</t>
  </si>
  <si>
    <t>Büeler Rico</t>
  </si>
  <si>
    <t>Lustenberger Thomas</t>
  </si>
  <si>
    <t>Gisler Roman</t>
  </si>
  <si>
    <t>Gamma Cornelia</t>
  </si>
  <si>
    <t>Cathry Ruedi</t>
  </si>
  <si>
    <t>Zberg Daniel</t>
  </si>
  <si>
    <t>Deplazes Monja</t>
  </si>
  <si>
    <t>Simmen Christian</t>
  </si>
  <si>
    <t>Furrer Julian</t>
  </si>
  <si>
    <t>Gamma Joel</t>
  </si>
  <si>
    <t>Furrer Joël</t>
  </si>
  <si>
    <t>Herger Benjamin</t>
  </si>
  <si>
    <t>Lüönd Eveline</t>
  </si>
  <si>
    <t>Gisler Julia</t>
  </si>
  <si>
    <t>Kelly Andrew</t>
  </si>
  <si>
    <t>Jäger Reto</t>
  </si>
  <si>
    <t>Gisler Maria</t>
  </si>
  <si>
    <t>Lauener Salomé</t>
  </si>
  <si>
    <t>Furger Rita</t>
  </si>
  <si>
    <t>Arnold Kevin</t>
  </si>
  <si>
    <t>Schär Jonas</t>
  </si>
  <si>
    <t>Arnold Vinzenz</t>
  </si>
  <si>
    <t>Schmidt Mario</t>
  </si>
  <si>
    <t>Tresch Reto</t>
  </si>
  <si>
    <t>Zgraggen Kaoutar</t>
  </si>
  <si>
    <t>Kumulierte Stimmen auf fremden Listen</t>
  </si>
  <si>
    <t>verknüpft mit 8.2 Kumulieren (hinterste zwei Spalten)</t>
  </si>
  <si>
    <t>Stimmen von eigener Liste</t>
  </si>
  <si>
    <t>unver.</t>
  </si>
  <si>
    <t>ver.</t>
  </si>
  <si>
    <t>Stimmen von fremden Listen</t>
  </si>
  <si>
    <t>Stimmen von veränderten WZ der Liste</t>
  </si>
  <si>
    <t>Zahlen "Stimmen" kommen aus Formular 5b, Rest kommt aus dem Formular 3c (pro Gemeinde), % = Anteil kumulierte Stimmen auf anderen Listen an der Gesamtstimmenzahl (Formel hinterlegt)</t>
  </si>
  <si>
    <t>Zahlen "Stimmen" und "Stimmen von eigener Liste" kommen aus Formular 2 (pro Gemeinde), "Stimmen von veränderten WZ der Liste" kommen aus dem Formular 3b (pro Gemeinde), % = Anteil Stimmen von fremden Listen an der Gesamtstimmenzahl (Formel hinterlegt)</t>
  </si>
  <si>
    <t>Total 2024</t>
  </si>
  <si>
    <t>Parteien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</si>
</sst>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\ &quot;*&quot;"/>
    <numFmt numFmtId="165" formatCode="0.0%"/>
    <numFmt numFmtId="166" formatCode="0.0"/>
    <numFmt numFmtId="167" formatCode="0.000"/>
  </numFmts>
  <fonts count="2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2" borderId="0" xfId="0" applyFont="1" applyFill="1">
      <alignment vertical="center"/>
    </xf>
    <xf numFmtId="0" fontId="8" fillId="0" borderId="0" xfId="0" applyFont="1">
      <alignment vertical="center"/>
    </xf>
    <xf numFmtId="1" fontId="0" fillId="0" borderId="0" xfId="0" applyNumberFormat="1">
      <alignment vertical="center"/>
    </xf>
    <xf numFmtId="1" fontId="5" fillId="0" borderId="0" xfId="0" applyNumberFormat="1" applyFont="1">
      <alignment vertical="center"/>
    </xf>
    <xf numFmtId="0" fontId="10" fillId="0" borderId="0" xfId="0" applyFo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1" fontId="11" fillId="2" borderId="3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5" fillId="0" borderId="4" xfId="0" applyFont="1" applyBorder="1" applyAlignment="1">
      <alignment horizontal="left" vertical="center" indent="1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indent="1"/>
    </xf>
    <xf numFmtId="0" fontId="14" fillId="0" borderId="4" xfId="0" applyFont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 wrapText="1"/>
    </xf>
    <xf numFmtId="165" fontId="14" fillId="0" borderId="3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indent="1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165" fontId="11" fillId="0" borderId="0" xfId="2" applyNumberFormat="1" applyFont="1" applyAlignment="1">
      <alignment horizontal="center" vertical="center" wrapText="1"/>
    </xf>
    <xf numFmtId="0" fontId="11" fillId="3" borderId="0" xfId="0" applyFont="1" applyFill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indent="1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center" vertical="center"/>
    </xf>
    <xf numFmtId="166" fontId="11" fillId="2" borderId="3" xfId="1" applyNumberFormat="1" applyFont="1" applyFill="1" applyBorder="1" applyAlignment="1">
      <alignment horizontal="center" vertical="center" wrapText="1"/>
    </xf>
    <xf numFmtId="166" fontId="11" fillId="0" borderId="3" xfId="0" applyNumberFormat="1" applyFont="1" applyBorder="1" applyAlignment="1">
      <alignment horizontal="center" vertical="center" wrapText="1"/>
    </xf>
    <xf numFmtId="166" fontId="11" fillId="0" borderId="3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 indent="1"/>
    </xf>
    <xf numFmtId="0" fontId="12" fillId="0" borderId="9" xfId="0" applyFont="1" applyBorder="1" applyAlignment="1">
      <alignment horizontal="center" vertical="center"/>
    </xf>
    <xf numFmtId="166" fontId="12" fillId="2" borderId="6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6" fontId="11" fillId="2" borderId="1" xfId="0" applyNumberFormat="1" applyFont="1" applyFill="1" applyBorder="1" applyAlignment="1">
      <alignment horizontal="center" vertical="center"/>
    </xf>
    <xf numFmtId="166" fontId="11" fillId="2" borderId="3" xfId="0" applyNumberFormat="1" applyFont="1" applyFill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 indent="1"/>
    </xf>
    <xf numFmtId="0" fontId="12" fillId="0" borderId="5" xfId="0" applyFont="1" applyBorder="1" applyAlignment="1">
      <alignment horizontal="center" vertical="center"/>
    </xf>
    <xf numFmtId="166" fontId="12" fillId="2" borderId="3" xfId="0" applyNumberFormat="1" applyFont="1" applyFill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" fontId="16" fillId="0" borderId="3" xfId="1" applyNumberFormat="1" applyFont="1" applyFill="1" applyBorder="1" applyAlignment="1">
      <alignment horizontal="center" vertical="center" wrapText="1"/>
    </xf>
    <xf numFmtId="1" fontId="16" fillId="4" borderId="3" xfId="1" applyNumberFormat="1" applyFont="1" applyFill="1" applyBorder="1" applyAlignment="1">
      <alignment horizontal="center" vertical="center" wrapText="1"/>
    </xf>
    <xf numFmtId="1" fontId="16" fillId="2" borderId="3" xfId="1" applyNumberFormat="1" applyFont="1" applyFill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/>
    </xf>
    <xf numFmtId="1" fontId="16" fillId="2" borderId="3" xfId="0" applyNumberFormat="1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 wrapText="1"/>
    </xf>
    <xf numFmtId="1" fontId="16" fillId="4" borderId="3" xfId="0" applyNumberFormat="1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vertical="center" wrapText="1"/>
    </xf>
    <xf numFmtId="16" fontId="16" fillId="0" borderId="5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6" fillId="0" borderId="5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164" fontId="16" fillId="4" borderId="3" xfId="0" applyNumberFormat="1" applyFont="1" applyFill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" fontId="16" fillId="4" borderId="2" xfId="0" applyNumberFormat="1" applyFont="1" applyFill="1" applyBorder="1" applyAlignment="1">
      <alignment horizontal="center" vertical="center"/>
    </xf>
    <xf numFmtId="1" fontId="16" fillId="2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" fontId="17" fillId="0" borderId="9" xfId="0" applyNumberFormat="1" applyFont="1" applyBorder="1" applyAlignment="1">
      <alignment horizontal="center" vertical="center"/>
    </xf>
    <xf numFmtId="1" fontId="17" fillId="4" borderId="9" xfId="0" applyNumberFormat="1" applyFont="1" applyFill="1" applyBorder="1" applyAlignment="1">
      <alignment horizontal="center" vertical="center"/>
    </xf>
    <xf numFmtId="1" fontId="17" fillId="2" borderId="9" xfId="0" applyNumberFormat="1" applyFont="1" applyFill="1" applyBorder="1" applyAlignment="1">
      <alignment horizontal="center" vertical="center"/>
    </xf>
    <xf numFmtId="1" fontId="17" fillId="0" borderId="8" xfId="0" applyNumberFormat="1" applyFont="1" applyBorder="1" applyAlignment="1">
      <alignment horizontal="center" vertical="center"/>
    </xf>
    <xf numFmtId="1" fontId="17" fillId="4" borderId="6" xfId="0" applyNumberFormat="1" applyFont="1" applyFill="1" applyBorder="1" applyAlignment="1">
      <alignment horizontal="center" vertical="center"/>
    </xf>
    <xf numFmtId="1" fontId="17" fillId="2" borderId="6" xfId="0" applyNumberFormat="1" applyFont="1" applyFill="1" applyBorder="1" applyAlignment="1">
      <alignment horizontal="center" vertical="center"/>
    </xf>
    <xf numFmtId="1" fontId="16" fillId="0" borderId="14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" fontId="17" fillId="4" borderId="5" xfId="0" applyNumberFormat="1" applyFont="1" applyFill="1" applyBorder="1" applyAlignment="1">
      <alignment horizontal="center" vertical="center"/>
    </xf>
    <xf numFmtId="1" fontId="17" fillId="2" borderId="5" xfId="0" applyNumberFormat="1" applyFont="1" applyFill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" fontId="17" fillId="4" borderId="3" xfId="0" applyNumberFormat="1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 indent="1"/>
    </xf>
    <xf numFmtId="0" fontId="16" fillId="4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indent="1"/>
    </xf>
    <xf numFmtId="0" fontId="17" fillId="0" borderId="14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 wrapText="1"/>
    </xf>
    <xf numFmtId="166" fontId="16" fillId="4" borderId="1" xfId="0" applyNumberFormat="1" applyFont="1" applyFill="1" applyBorder="1" applyAlignment="1">
      <alignment horizontal="center" vertical="center" wrapText="1"/>
    </xf>
    <xf numFmtId="166" fontId="16" fillId="2" borderId="1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>
      <alignment vertical="center"/>
    </xf>
    <xf numFmtId="0" fontId="16" fillId="2" borderId="3" xfId="0" applyFont="1" applyFill="1" applyBorder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indent="1"/>
    </xf>
    <xf numFmtId="0" fontId="16" fillId="0" borderId="2" xfId="0" applyFont="1" applyBorder="1" applyAlignment="1">
      <alignment horizontal="left" vertical="center" indent="1"/>
    </xf>
    <xf numFmtId="0" fontId="17" fillId="0" borderId="6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indent="1"/>
    </xf>
    <xf numFmtId="0" fontId="17" fillId="0" borderId="3" xfId="0" applyFont="1" applyBorder="1" applyAlignment="1">
      <alignment horizontal="left" vertical="center" wrapText="1" inden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indent="1"/>
    </xf>
    <xf numFmtId="165" fontId="16" fillId="0" borderId="3" xfId="2" applyNumberFormat="1" applyFont="1" applyFill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65" fontId="16" fillId="0" borderId="4" xfId="2" applyNumberFormat="1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165" fontId="16" fillId="0" borderId="3" xfId="2" applyNumberFormat="1" applyFont="1" applyFill="1" applyBorder="1" applyAlignment="1">
      <alignment horizontal="left" vertical="center" wrapText="1" indent="1"/>
    </xf>
    <xf numFmtId="1" fontId="16" fillId="0" borderId="4" xfId="2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 indent="1"/>
    </xf>
    <xf numFmtId="0" fontId="17" fillId="2" borderId="12" xfId="0" applyFont="1" applyFill="1" applyBorder="1" applyAlignment="1">
      <alignment horizontal="left" vertical="center" indent="1"/>
    </xf>
    <xf numFmtId="0" fontId="17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165" fontId="17" fillId="2" borderId="2" xfId="2" applyNumberFormat="1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165" fontId="17" fillId="2" borderId="2" xfId="2" applyNumberFormat="1" applyFont="1" applyFill="1" applyBorder="1" applyAlignment="1">
      <alignment horizontal="left" vertical="center" wrapText="1" indent="1"/>
    </xf>
    <xf numFmtId="1" fontId="17" fillId="2" borderId="2" xfId="2" applyNumberFormat="1" applyFont="1" applyFill="1" applyBorder="1" applyAlignment="1">
      <alignment horizontal="center" vertical="center" wrapText="1"/>
    </xf>
    <xf numFmtId="165" fontId="17" fillId="2" borderId="12" xfId="2" applyNumberFormat="1" applyFont="1" applyFill="1" applyBorder="1" applyAlignment="1">
      <alignment horizontal="center" vertical="center" wrapText="1"/>
    </xf>
    <xf numFmtId="1" fontId="17" fillId="2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indent="1"/>
    </xf>
    <xf numFmtId="0" fontId="12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center" vertical="center"/>
    </xf>
    <xf numFmtId="166" fontId="11" fillId="2" borderId="6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2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indent="1"/>
    </xf>
    <xf numFmtId="0" fontId="12" fillId="2" borderId="2" xfId="0" applyFont="1" applyFill="1" applyBorder="1" applyAlignment="1">
      <alignment horizontal="center" vertical="center"/>
    </xf>
    <xf numFmtId="165" fontId="12" fillId="2" borderId="2" xfId="2" applyNumberFormat="1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left" vertical="center" indent="1"/>
    </xf>
    <xf numFmtId="0" fontId="17" fillId="2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left" vertical="center" indent="1"/>
    </xf>
    <xf numFmtId="0" fontId="12" fillId="2" borderId="6" xfId="0" applyFont="1" applyFill="1" applyBorder="1" applyAlignment="1">
      <alignment horizontal="center" vertical="center" wrapText="1"/>
    </xf>
    <xf numFmtId="1" fontId="16" fillId="0" borderId="5" xfId="0" applyNumberFormat="1" applyFont="1" applyBorder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7" fontId="11" fillId="0" borderId="0" xfId="0" applyNumberFormat="1" applyFont="1" applyAlignment="1">
      <alignment horizontal="center" vertical="center" wrapText="1"/>
    </xf>
    <xf numFmtId="166" fontId="11" fillId="2" borderId="4" xfId="0" applyNumberFormat="1" applyFont="1" applyFill="1" applyBorder="1" applyAlignment="1">
      <alignment horizontal="center" vertical="center" wrapText="1"/>
    </xf>
    <xf numFmtId="166" fontId="11" fillId="2" borderId="3" xfId="0" applyNumberFormat="1" applyFont="1" applyFill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166" fontId="16" fillId="0" borderId="3" xfId="0" applyNumberFormat="1" applyFont="1" applyBorder="1" applyAlignment="1">
      <alignment horizontal="left" vertical="center" indent="1"/>
    </xf>
    <xf numFmtId="166" fontId="16" fillId="0" borderId="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left" vertical="center" indent="1"/>
    </xf>
    <xf numFmtId="166" fontId="16" fillId="0" borderId="4" xfId="0" applyNumberFormat="1" applyFont="1" applyBorder="1" applyAlignment="1">
      <alignment horizontal="center" vertical="center" wrapText="1"/>
    </xf>
    <xf numFmtId="166" fontId="16" fillId="0" borderId="5" xfId="0" applyNumberFormat="1" applyFont="1" applyBorder="1" applyAlignment="1">
      <alignment horizontal="center" vertical="center" wrapText="1"/>
    </xf>
    <xf numFmtId="166" fontId="16" fillId="0" borderId="2" xfId="0" applyNumberFormat="1" applyFont="1" applyBorder="1" applyAlignment="1">
      <alignment horizontal="left" vertical="center" indent="1"/>
    </xf>
    <xf numFmtId="166" fontId="17" fillId="2" borderId="6" xfId="0" applyNumberFormat="1" applyFont="1" applyFill="1" applyBorder="1" applyAlignment="1">
      <alignment horizontal="left" vertical="center" indent="1"/>
    </xf>
    <xf numFmtId="166" fontId="17" fillId="2" borderId="6" xfId="0" applyNumberFormat="1" applyFont="1" applyFill="1" applyBorder="1" applyAlignment="1">
      <alignment horizontal="center" vertical="center" wrapText="1"/>
    </xf>
    <xf numFmtId="166" fontId="17" fillId="2" borderId="7" xfId="0" applyNumberFormat="1" applyFont="1" applyFill="1" applyBorder="1" applyAlignment="1">
      <alignment horizontal="center" vertical="center" wrapText="1"/>
    </xf>
    <xf numFmtId="166" fontId="17" fillId="2" borderId="9" xfId="0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" fontId="11" fillId="0" borderId="0" xfId="0" applyNumberFormat="1" applyFont="1">
      <alignment vertical="center"/>
    </xf>
    <xf numFmtId="166" fontId="5" fillId="0" borderId="0" xfId="0" applyNumberFormat="1" applyFont="1">
      <alignment vertical="center"/>
    </xf>
    <xf numFmtId="1" fontId="16" fillId="0" borderId="4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/>
    </xf>
    <xf numFmtId="1" fontId="11" fillId="0" borderId="3" xfId="1" applyNumberFormat="1" applyFont="1" applyFill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textRotation="90" wrapText="1"/>
    </xf>
    <xf numFmtId="0" fontId="14" fillId="0" borderId="6" xfId="0" applyFont="1" applyBorder="1" applyAlignment="1">
      <alignment horizontal="center" vertical="center" textRotation="90" wrapText="1"/>
    </xf>
    <xf numFmtId="0" fontId="14" fillId="0" borderId="7" xfId="0" applyFont="1" applyBorder="1" applyAlignment="1">
      <alignment horizontal="center" vertical="center" textRotation="90" wrapText="1"/>
    </xf>
    <xf numFmtId="0" fontId="14" fillId="2" borderId="6" xfId="0" applyFont="1" applyFill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/>
    </xf>
    <xf numFmtId="166" fontId="14" fillId="0" borderId="3" xfId="0" applyNumberFormat="1" applyFont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166" fontId="14" fillId="0" borderId="4" xfId="0" applyNumberFormat="1" applyFont="1" applyBorder="1" applyAlignment="1">
      <alignment horizontal="center" vertical="center" wrapText="1"/>
    </xf>
    <xf numFmtId="166" fontId="14" fillId="2" borderId="3" xfId="0" applyNumberFormat="1" applyFont="1" applyFill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166" fontId="15" fillId="2" borderId="16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165" fontId="15" fillId="0" borderId="6" xfId="2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66" fontId="11" fillId="0" borderId="3" xfId="1" applyNumberFormat="1" applyFont="1" applyFill="1" applyBorder="1" applyAlignment="1">
      <alignment horizontal="center" vertical="center" wrapText="1"/>
    </xf>
    <xf numFmtId="166" fontId="16" fillId="0" borderId="3" xfId="1" applyNumberFormat="1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/>
    </xf>
    <xf numFmtId="1" fontId="16" fillId="5" borderId="3" xfId="1" applyNumberFormat="1" applyFont="1" applyFill="1" applyBorder="1" applyAlignment="1">
      <alignment horizontal="center" vertical="center" wrapText="1"/>
    </xf>
    <xf numFmtId="1" fontId="16" fillId="5" borderId="3" xfId="0" applyNumberFormat="1" applyFont="1" applyFill="1" applyBorder="1" applyAlignment="1">
      <alignment horizontal="center" vertical="center"/>
    </xf>
    <xf numFmtId="1" fontId="16" fillId="0" borderId="0" xfId="0" applyNumberFormat="1" applyFont="1">
      <alignment vertical="center"/>
    </xf>
    <xf numFmtId="1" fontId="13" fillId="0" borderId="0" xfId="0" applyNumberFormat="1" applyFont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21" xfId="0" applyFont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15" fillId="0" borderId="20" xfId="0" applyNumberFormat="1" applyFont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165" fontId="17" fillId="6" borderId="2" xfId="2" applyNumberFormat="1" applyFont="1" applyFill="1" applyBorder="1" applyAlignment="1">
      <alignment horizontal="center" vertical="center" wrapText="1"/>
    </xf>
    <xf numFmtId="1" fontId="17" fillId="6" borderId="10" xfId="0" applyNumberFormat="1" applyFont="1" applyFill="1" applyBorder="1" applyAlignment="1">
      <alignment horizontal="center" vertical="center" wrapText="1"/>
    </xf>
    <xf numFmtId="1" fontId="17" fillId="6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1" fillId="0" borderId="2" xfId="0" applyFont="1" applyBorder="1" applyAlignment="1">
      <alignment horizontal="center" vertical="center" wrapText="1"/>
    </xf>
    <xf numFmtId="1" fontId="12" fillId="2" borderId="6" xfId="0" applyNumberFormat="1" applyFont="1" applyFill="1" applyBorder="1" applyAlignment="1">
      <alignment horizontal="center" vertical="center"/>
    </xf>
    <xf numFmtId="1" fontId="12" fillId="2" borderId="6" xfId="0" applyNumberFormat="1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166" fontId="12" fillId="2" borderId="2" xfId="0" applyNumberFormat="1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1" fontId="12" fillId="0" borderId="6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indent="1"/>
    </xf>
    <xf numFmtId="0" fontId="18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inden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>
      <alignment vertical="center"/>
    </xf>
    <xf numFmtId="0" fontId="22" fillId="0" borderId="0" xfId="0" applyFont="1">
      <alignment vertical="center"/>
    </xf>
    <xf numFmtId="0" fontId="16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 indent="1"/>
    </xf>
    <xf numFmtId="1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3" fillId="0" borderId="3" xfId="0" applyFont="1" applyBorder="1">
      <alignment vertical="center"/>
    </xf>
    <xf numFmtId="0" fontId="23" fillId="0" borderId="5" xfId="0" applyFont="1" applyBorder="1">
      <alignment vertical="center"/>
    </xf>
    <xf numFmtId="0" fontId="23" fillId="0" borderId="2" xfId="0" applyFont="1" applyBorder="1">
      <alignment vertical="center"/>
    </xf>
    <xf numFmtId="0" fontId="24" fillId="6" borderId="2" xfId="0" applyFont="1" applyFill="1" applyBorder="1">
      <alignment vertical="center"/>
    </xf>
    <xf numFmtId="0" fontId="24" fillId="0" borderId="6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23" fillId="0" borderId="1" xfId="0" applyFont="1" applyBorder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166" fontId="24" fillId="6" borderId="11" xfId="0" applyNumberFormat="1" applyFont="1" applyFill="1" applyBorder="1" applyAlignment="1">
      <alignment horizontal="center" vertical="center"/>
    </xf>
    <xf numFmtId="0" fontId="23" fillId="0" borderId="6" xfId="0" applyFont="1" applyBorder="1">
      <alignment vertical="center"/>
    </xf>
    <xf numFmtId="0" fontId="24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2" xfId="0" applyFont="1" applyBorder="1">
      <alignment vertical="center"/>
    </xf>
    <xf numFmtId="0" fontId="23" fillId="0" borderId="9" xfId="0" applyFont="1" applyBorder="1">
      <alignment vertical="center"/>
    </xf>
    <xf numFmtId="166" fontId="23" fillId="0" borderId="2" xfId="0" applyNumberFormat="1" applyFont="1" applyBorder="1" applyAlignment="1">
      <alignment horizontal="center" vertical="center"/>
    </xf>
    <xf numFmtId="166" fontId="23" fillId="0" borderId="14" xfId="0" applyNumberFormat="1" applyFont="1" applyBorder="1" applyAlignment="1">
      <alignment horizontal="center" vertical="center"/>
    </xf>
    <xf numFmtId="166" fontId="23" fillId="0" borderId="11" xfId="0" applyNumberFormat="1" applyFont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/>
    </xf>
    <xf numFmtId="0" fontId="25" fillId="0" borderId="0" xfId="0" applyFont="1">
      <alignment vertical="center"/>
    </xf>
    <xf numFmtId="166" fontId="24" fillId="6" borderId="2" xfId="0" applyNumberFormat="1" applyFont="1" applyFill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4" fillId="6" borderId="12" xfId="0" applyFont="1" applyFill="1" applyBorder="1">
      <alignment vertical="center"/>
    </xf>
    <xf numFmtId="1" fontId="24" fillId="6" borderId="2" xfId="0" applyNumberFormat="1" applyFont="1" applyFill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textRotation="90" wrapText="1"/>
    </xf>
    <xf numFmtId="0" fontId="14" fillId="2" borderId="0" xfId="0" applyFont="1" applyFill="1" applyAlignment="1">
      <alignment horizontal="center" vertical="center" wrapText="1"/>
    </xf>
    <xf numFmtId="1" fontId="14" fillId="2" borderId="5" xfId="0" applyNumberFormat="1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horizontal="center" vertical="center" wrapText="1"/>
    </xf>
    <xf numFmtId="1" fontId="15" fillId="2" borderId="25" xfId="0" applyNumberFormat="1" applyFont="1" applyFill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15" fillId="0" borderId="19" xfId="0" applyFont="1" applyBorder="1" applyAlignment="1">
      <alignment horizontal="left" vertical="center" indent="1"/>
    </xf>
    <xf numFmtId="0" fontId="14" fillId="0" borderId="19" xfId="0" applyFont="1" applyBorder="1" applyAlignment="1">
      <alignment horizontal="left" vertical="center" indent="1"/>
    </xf>
    <xf numFmtId="0" fontId="15" fillId="0" borderId="15" xfId="0" applyFont="1" applyBorder="1" applyAlignment="1">
      <alignment horizontal="left" vertical="center" indent="1"/>
    </xf>
    <xf numFmtId="166" fontId="15" fillId="0" borderId="16" xfId="0" applyNumberFormat="1" applyFont="1" applyBorder="1" applyAlignment="1">
      <alignment horizontal="center" vertical="center" wrapText="1"/>
    </xf>
    <xf numFmtId="166" fontId="15" fillId="0" borderId="29" xfId="0" applyNumberFormat="1" applyFont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left" vertical="center" indent="1"/>
    </xf>
    <xf numFmtId="1" fontId="19" fillId="0" borderId="5" xfId="0" applyNumberFormat="1" applyFont="1" applyBorder="1" applyAlignment="1">
      <alignment horizontal="center" vertical="center"/>
    </xf>
    <xf numFmtId="1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66" fontId="19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indent="1"/>
    </xf>
    <xf numFmtId="0" fontId="12" fillId="0" borderId="2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7" fillId="0" borderId="7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C0C0C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92D050"/>
  </sheetPr>
  <dimension ref="A1:M13"/>
  <sheetViews>
    <sheetView zoomScale="104" zoomScaleNormal="200" workbookViewId="0">
      <selection activeCell="E27" sqref="E27"/>
    </sheetView>
  </sheetViews>
  <sheetFormatPr defaultColWidth="11.453125" defaultRowHeight="13" x14ac:dyDescent="0.25"/>
  <cols>
    <col min="1" max="1" width="15.90625" style="17" customWidth="1"/>
    <col min="2" max="2" width="11.453125" style="18"/>
    <col min="3" max="12" width="5.54296875" style="19" customWidth="1"/>
    <col min="13" max="13" width="11.453125" style="18"/>
    <col min="14" max="16384" width="11.453125" style="20"/>
  </cols>
  <sheetData>
    <row r="1" spans="1:13" s="53" customFormat="1" ht="27" customHeight="1" x14ac:dyDescent="0.25">
      <c r="A1" s="384" t="s">
        <v>0</v>
      </c>
      <c r="B1" s="386" t="s">
        <v>10</v>
      </c>
      <c r="C1" s="382" t="s">
        <v>11</v>
      </c>
      <c r="D1" s="383"/>
      <c r="E1" s="382" t="s">
        <v>12</v>
      </c>
      <c r="F1" s="383"/>
      <c r="G1" s="388" t="s">
        <v>85</v>
      </c>
      <c r="H1" s="389"/>
      <c r="I1" s="382" t="s">
        <v>13</v>
      </c>
      <c r="J1" s="383"/>
      <c r="K1" s="382" t="s">
        <v>9</v>
      </c>
      <c r="L1" s="383"/>
      <c r="M1" s="52"/>
    </row>
    <row r="2" spans="1:13" ht="39" customHeight="1" x14ac:dyDescent="0.25">
      <c r="A2" s="385"/>
      <c r="B2" s="387"/>
      <c r="C2" s="21" t="s">
        <v>15</v>
      </c>
      <c r="D2" s="22" t="s">
        <v>14</v>
      </c>
      <c r="E2" s="21" t="s">
        <v>15</v>
      </c>
      <c r="F2" s="23" t="s">
        <v>14</v>
      </c>
      <c r="G2" s="21" t="s">
        <v>15</v>
      </c>
      <c r="H2" s="23" t="s">
        <v>14</v>
      </c>
      <c r="I2" s="21" t="s">
        <v>15</v>
      </c>
      <c r="J2" s="23" t="s">
        <v>14</v>
      </c>
      <c r="K2" s="21" t="s">
        <v>15</v>
      </c>
      <c r="L2" s="54" t="s">
        <v>14</v>
      </c>
    </row>
    <row r="3" spans="1:13" ht="6" customHeight="1" x14ac:dyDescent="0.25">
      <c r="A3" s="24"/>
      <c r="B3" s="25"/>
      <c r="C3" s="26"/>
      <c r="D3" s="27"/>
      <c r="E3" s="26"/>
      <c r="F3" s="28"/>
      <c r="G3" s="26"/>
      <c r="H3" s="28"/>
      <c r="I3" s="26"/>
      <c r="J3" s="28"/>
      <c r="K3" s="26"/>
      <c r="L3" s="29"/>
    </row>
    <row r="4" spans="1:13" x14ac:dyDescent="0.25">
      <c r="A4" s="31" t="s">
        <v>1</v>
      </c>
      <c r="B4" s="30">
        <v>15</v>
      </c>
      <c r="C4" s="32">
        <v>8</v>
      </c>
      <c r="D4" s="33">
        <v>3</v>
      </c>
      <c r="E4" s="34">
        <v>8</v>
      </c>
      <c r="F4" s="19">
        <v>1</v>
      </c>
      <c r="G4" s="34">
        <v>9</v>
      </c>
      <c r="H4" s="19">
        <v>4</v>
      </c>
      <c r="I4" s="34">
        <v>8</v>
      </c>
      <c r="J4" s="19">
        <v>1</v>
      </c>
      <c r="K4" s="34">
        <f t="shared" ref="K4:L7" si="0">SUM(I4,G4,E4,C4)</f>
        <v>33</v>
      </c>
      <c r="L4" s="35">
        <f t="shared" si="0"/>
        <v>9</v>
      </c>
    </row>
    <row r="5" spans="1:13" x14ac:dyDescent="0.25">
      <c r="A5" s="31" t="s">
        <v>3</v>
      </c>
      <c r="B5" s="30">
        <v>7</v>
      </c>
      <c r="C5" s="34">
        <v>5</v>
      </c>
      <c r="D5" s="33">
        <v>3</v>
      </c>
      <c r="E5" s="34">
        <v>5</v>
      </c>
      <c r="F5" s="19">
        <v>1</v>
      </c>
      <c r="G5" s="34">
        <v>4</v>
      </c>
      <c r="H5" s="19">
        <v>2</v>
      </c>
      <c r="I5" s="34">
        <v>4</v>
      </c>
      <c r="J5" s="19">
        <v>0</v>
      </c>
      <c r="K5" s="34">
        <f t="shared" si="0"/>
        <v>18</v>
      </c>
      <c r="L5" s="35">
        <f t="shared" si="0"/>
        <v>6</v>
      </c>
    </row>
    <row r="6" spans="1:13" x14ac:dyDescent="0.25">
      <c r="A6" s="31" t="s">
        <v>4</v>
      </c>
      <c r="B6" s="30">
        <v>6</v>
      </c>
      <c r="C6" s="34">
        <v>4</v>
      </c>
      <c r="D6" s="33">
        <v>1</v>
      </c>
      <c r="E6" s="34">
        <v>4</v>
      </c>
      <c r="F6" s="19">
        <v>0</v>
      </c>
      <c r="G6" s="34">
        <v>3</v>
      </c>
      <c r="H6" s="19">
        <v>2</v>
      </c>
      <c r="I6" s="34">
        <v>3</v>
      </c>
      <c r="J6" s="19">
        <v>0</v>
      </c>
      <c r="K6" s="34">
        <f t="shared" si="0"/>
        <v>14</v>
      </c>
      <c r="L6" s="35">
        <f t="shared" si="0"/>
        <v>3</v>
      </c>
    </row>
    <row r="7" spans="1:13" x14ac:dyDescent="0.25">
      <c r="A7" s="31" t="s">
        <v>6</v>
      </c>
      <c r="B7" s="30">
        <v>9</v>
      </c>
      <c r="C7" s="34">
        <v>5</v>
      </c>
      <c r="D7" s="33">
        <v>1</v>
      </c>
      <c r="E7" s="34">
        <v>5</v>
      </c>
      <c r="F7" s="19">
        <v>1</v>
      </c>
      <c r="G7" s="34">
        <v>5</v>
      </c>
      <c r="H7" s="19">
        <v>2</v>
      </c>
      <c r="I7" s="34">
        <v>5</v>
      </c>
      <c r="J7" s="19">
        <v>0</v>
      </c>
      <c r="K7" s="34">
        <f t="shared" si="0"/>
        <v>20</v>
      </c>
      <c r="L7" s="35">
        <f t="shared" si="0"/>
        <v>4</v>
      </c>
    </row>
    <row r="8" spans="1:13" ht="6" customHeight="1" x14ac:dyDescent="0.25">
      <c r="A8" s="31"/>
      <c r="B8" s="30"/>
      <c r="C8" s="34"/>
      <c r="D8" s="33"/>
      <c r="E8" s="34"/>
      <c r="G8" s="34"/>
      <c r="I8" s="34"/>
      <c r="K8" s="34"/>
      <c r="L8" s="35"/>
    </row>
    <row r="9" spans="1:13" s="53" customFormat="1" x14ac:dyDescent="0.25">
      <c r="A9" s="55" t="s">
        <v>9</v>
      </c>
      <c r="B9" s="56">
        <f>SUM(B4:B7)</f>
        <v>37</v>
      </c>
      <c r="C9" s="57">
        <f t="shared" ref="C9:K9" si="1">SUM(C4:C8)</f>
        <v>22</v>
      </c>
      <c r="D9" s="58">
        <f t="shared" si="1"/>
        <v>8</v>
      </c>
      <c r="E9" s="57">
        <f t="shared" si="1"/>
        <v>22</v>
      </c>
      <c r="F9" s="58">
        <f t="shared" si="1"/>
        <v>3</v>
      </c>
      <c r="G9" s="57">
        <f t="shared" si="1"/>
        <v>21</v>
      </c>
      <c r="H9" s="58">
        <f t="shared" si="1"/>
        <v>10</v>
      </c>
      <c r="I9" s="57">
        <f t="shared" si="1"/>
        <v>20</v>
      </c>
      <c r="J9" s="58">
        <f t="shared" si="1"/>
        <v>1</v>
      </c>
      <c r="K9" s="57">
        <f t="shared" si="1"/>
        <v>85</v>
      </c>
      <c r="L9" s="59">
        <f>SUM(J9,H9,F9,D9)</f>
        <v>22</v>
      </c>
      <c r="M9" s="52"/>
    </row>
    <row r="10" spans="1:13" x14ac:dyDescent="0.25">
      <c r="D10" s="65">
        <f>D9/C9</f>
        <v>0.36363636363636365</v>
      </c>
      <c r="E10" s="65"/>
      <c r="F10" s="65">
        <f t="shared" ref="F10:L10" si="2">F9/E9</f>
        <v>0.13636363636363635</v>
      </c>
      <c r="G10" s="65"/>
      <c r="H10" s="65">
        <f t="shared" si="2"/>
        <v>0.47619047619047616</v>
      </c>
      <c r="I10" s="65"/>
      <c r="J10" s="65">
        <f t="shared" si="2"/>
        <v>0.05</v>
      </c>
      <c r="K10" s="65"/>
      <c r="L10" s="65">
        <f t="shared" si="2"/>
        <v>0.25882352941176473</v>
      </c>
    </row>
    <row r="13" spans="1:13" x14ac:dyDescent="0.25">
      <c r="A13" s="17">
        <v>2020</v>
      </c>
    </row>
  </sheetData>
  <mergeCells count="7">
    <mergeCell ref="K1:L1"/>
    <mergeCell ref="A1:A2"/>
    <mergeCell ref="B1:B2"/>
    <mergeCell ref="C1:D1"/>
    <mergeCell ref="E1:F1"/>
    <mergeCell ref="G1:H1"/>
    <mergeCell ref="I1:J1"/>
  </mergeCells>
  <phoneticPr fontId="3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rgb="FF92D050"/>
  </sheetPr>
  <dimension ref="A1:N12"/>
  <sheetViews>
    <sheetView workbookViewId="0">
      <selection activeCell="E27" sqref="E27"/>
    </sheetView>
  </sheetViews>
  <sheetFormatPr defaultColWidth="11.453125" defaultRowHeight="14.5" x14ac:dyDescent="0.25"/>
  <cols>
    <col min="1" max="1" width="7.90625" style="40" customWidth="1"/>
    <col min="2" max="2" width="6.453125" style="40" bestFit="1" customWidth="1"/>
    <col min="3" max="3" width="7" style="40" customWidth="1"/>
    <col min="4" max="4" width="6" style="40" customWidth="1"/>
    <col min="5" max="5" width="6.54296875" style="40" customWidth="1"/>
    <col min="6" max="6" width="6" style="40" customWidth="1"/>
    <col min="7" max="7" width="6.6328125" style="40" customWidth="1"/>
    <col min="8" max="8" width="6" style="40" customWidth="1"/>
    <col min="9" max="9" width="6.453125" style="40" customWidth="1"/>
    <col min="10" max="10" width="6" style="40" customWidth="1"/>
    <col min="11" max="11" width="6.453125" style="40" bestFit="1" customWidth="1"/>
    <col min="12" max="12" width="6" style="40" customWidth="1"/>
    <col min="13" max="13" width="6.453125" style="40" bestFit="1" customWidth="1"/>
    <col min="14" max="14" width="6.08984375" style="40" bestFit="1" customWidth="1"/>
    <col min="15" max="16384" width="11.453125" style="40"/>
  </cols>
  <sheetData>
    <row r="1" spans="1:14" x14ac:dyDescent="0.25">
      <c r="A1" s="37" t="s">
        <v>84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8"/>
    </row>
    <row r="2" spans="1:14" ht="22.5" customHeight="1" x14ac:dyDescent="0.25">
      <c r="A2" s="395" t="s">
        <v>17</v>
      </c>
      <c r="B2" s="393" t="s">
        <v>23</v>
      </c>
      <c r="C2" s="393" t="s">
        <v>10</v>
      </c>
      <c r="D2" s="390" t="s">
        <v>18</v>
      </c>
      <c r="E2" s="391"/>
      <c r="F2" s="390" t="s">
        <v>19</v>
      </c>
      <c r="G2" s="391"/>
      <c r="H2" s="397" t="s">
        <v>85</v>
      </c>
      <c r="I2" s="398"/>
      <c r="J2" s="390" t="s">
        <v>21</v>
      </c>
      <c r="K2" s="391"/>
      <c r="L2" s="390" t="s">
        <v>15</v>
      </c>
      <c r="M2" s="392"/>
      <c r="N2" s="391"/>
    </row>
    <row r="3" spans="1:14" ht="28.5" customHeight="1" x14ac:dyDescent="0.25">
      <c r="A3" s="396"/>
      <c r="B3" s="394"/>
      <c r="C3" s="394"/>
      <c r="D3" s="60" t="s">
        <v>15</v>
      </c>
      <c r="E3" s="61" t="s">
        <v>14</v>
      </c>
      <c r="F3" s="60" t="s">
        <v>15</v>
      </c>
      <c r="G3" s="62" t="s">
        <v>14</v>
      </c>
      <c r="H3" s="60" t="s">
        <v>15</v>
      </c>
      <c r="I3" s="62" t="s">
        <v>14</v>
      </c>
      <c r="J3" s="60" t="s">
        <v>15</v>
      </c>
      <c r="K3" s="62" t="s">
        <v>14</v>
      </c>
      <c r="L3" s="60" t="s">
        <v>15</v>
      </c>
      <c r="M3" s="63" t="s">
        <v>14</v>
      </c>
      <c r="N3" s="64" t="s">
        <v>22</v>
      </c>
    </row>
    <row r="4" spans="1:14" ht="6" customHeight="1" x14ac:dyDescent="0.25">
      <c r="A4" s="41"/>
      <c r="B4" s="42"/>
      <c r="C4" s="43"/>
      <c r="D4" s="44"/>
      <c r="E4" s="45"/>
      <c r="F4" s="44"/>
      <c r="G4" s="39"/>
      <c r="H4" s="44"/>
      <c r="I4" s="39"/>
      <c r="J4" s="44"/>
      <c r="K4" s="39"/>
      <c r="L4" s="44"/>
      <c r="M4" s="46"/>
      <c r="N4" s="47"/>
    </row>
    <row r="5" spans="1:14" x14ac:dyDescent="0.25">
      <c r="A5" s="48">
        <v>1992</v>
      </c>
      <c r="B5" s="49">
        <v>7</v>
      </c>
      <c r="C5" s="47">
        <v>47</v>
      </c>
      <c r="D5" s="50">
        <v>55</v>
      </c>
      <c r="E5" s="45">
        <v>10</v>
      </c>
      <c r="F5" s="44">
        <v>42</v>
      </c>
      <c r="G5" s="39">
        <v>9</v>
      </c>
      <c r="H5" s="44">
        <v>38</v>
      </c>
      <c r="I5" s="39">
        <v>12</v>
      </c>
      <c r="J5" s="44"/>
      <c r="K5" s="39"/>
      <c r="L5" s="44">
        <f t="shared" ref="L5:M9" si="0">SUM(J5,H5,F5,D5)</f>
        <v>135</v>
      </c>
      <c r="M5" s="46">
        <f t="shared" si="0"/>
        <v>31</v>
      </c>
      <c r="N5" s="51">
        <f t="shared" ref="N5:N12" si="1">M5/L5</f>
        <v>0.22962962962962963</v>
      </c>
    </row>
    <row r="6" spans="1:14" x14ac:dyDescent="0.25">
      <c r="A6" s="48">
        <v>1996</v>
      </c>
      <c r="B6" s="49">
        <v>8</v>
      </c>
      <c r="C6" s="47">
        <v>50</v>
      </c>
      <c r="D6" s="50">
        <v>54</v>
      </c>
      <c r="E6" s="45">
        <v>11</v>
      </c>
      <c r="F6" s="44">
        <v>25</v>
      </c>
      <c r="G6" s="39">
        <v>5</v>
      </c>
      <c r="H6" s="44">
        <v>36</v>
      </c>
      <c r="I6" s="39">
        <v>17</v>
      </c>
      <c r="J6" s="44">
        <v>1</v>
      </c>
      <c r="K6" s="39">
        <v>0</v>
      </c>
      <c r="L6" s="44">
        <f t="shared" si="0"/>
        <v>116</v>
      </c>
      <c r="M6" s="46">
        <f t="shared" si="0"/>
        <v>33</v>
      </c>
      <c r="N6" s="51">
        <f t="shared" si="1"/>
        <v>0.28448275862068967</v>
      </c>
    </row>
    <row r="7" spans="1:14" x14ac:dyDescent="0.25">
      <c r="A7" s="48">
        <v>2000</v>
      </c>
      <c r="B7" s="49">
        <v>8</v>
      </c>
      <c r="C7" s="47">
        <v>50</v>
      </c>
      <c r="D7" s="50">
        <v>46</v>
      </c>
      <c r="E7" s="45">
        <v>11</v>
      </c>
      <c r="F7" s="44">
        <v>35</v>
      </c>
      <c r="G7" s="39">
        <v>8</v>
      </c>
      <c r="H7" s="44">
        <v>25</v>
      </c>
      <c r="I7" s="39">
        <v>10</v>
      </c>
      <c r="J7" s="44">
        <v>16</v>
      </c>
      <c r="K7" s="39">
        <v>0</v>
      </c>
      <c r="L7" s="44">
        <f t="shared" si="0"/>
        <v>122</v>
      </c>
      <c r="M7" s="46">
        <f t="shared" si="0"/>
        <v>29</v>
      </c>
      <c r="N7" s="51">
        <f t="shared" si="1"/>
        <v>0.23770491803278687</v>
      </c>
    </row>
    <row r="8" spans="1:14" x14ac:dyDescent="0.25">
      <c r="A8" s="48">
        <v>2004</v>
      </c>
      <c r="B8" s="49">
        <v>8</v>
      </c>
      <c r="C8" s="47">
        <v>50</v>
      </c>
      <c r="D8" s="44">
        <v>54</v>
      </c>
      <c r="E8" s="45">
        <v>10</v>
      </c>
      <c r="F8" s="44">
        <v>31</v>
      </c>
      <c r="G8" s="39">
        <v>3</v>
      </c>
      <c r="H8" s="44">
        <v>23</v>
      </c>
      <c r="I8" s="39">
        <v>11</v>
      </c>
      <c r="J8" s="44">
        <v>20</v>
      </c>
      <c r="K8" s="39">
        <v>5</v>
      </c>
      <c r="L8" s="44">
        <f t="shared" si="0"/>
        <v>128</v>
      </c>
      <c r="M8" s="46">
        <f t="shared" si="0"/>
        <v>29</v>
      </c>
      <c r="N8" s="51">
        <f t="shared" si="1"/>
        <v>0.2265625</v>
      </c>
    </row>
    <row r="9" spans="1:14" x14ac:dyDescent="0.25">
      <c r="A9" s="48">
        <v>2008</v>
      </c>
      <c r="B9" s="49">
        <v>8</v>
      </c>
      <c r="C9" s="47">
        <v>50</v>
      </c>
      <c r="D9" s="44">
        <v>40</v>
      </c>
      <c r="E9" s="45">
        <v>13</v>
      </c>
      <c r="F9" s="44">
        <v>27</v>
      </c>
      <c r="G9" s="39">
        <v>5</v>
      </c>
      <c r="H9" s="44">
        <v>25</v>
      </c>
      <c r="I9" s="39">
        <v>9</v>
      </c>
      <c r="J9" s="44">
        <v>28</v>
      </c>
      <c r="K9" s="39">
        <v>2</v>
      </c>
      <c r="L9" s="44">
        <f t="shared" si="0"/>
        <v>120</v>
      </c>
      <c r="M9" s="46">
        <f t="shared" ref="M9" si="2">SUM(K9,I9,G9,E9)</f>
        <v>29</v>
      </c>
      <c r="N9" s="51">
        <f t="shared" si="1"/>
        <v>0.24166666666666667</v>
      </c>
    </row>
    <row r="10" spans="1:14" x14ac:dyDescent="0.25">
      <c r="A10" s="48">
        <v>2012</v>
      </c>
      <c r="B10" s="49">
        <v>8</v>
      </c>
      <c r="C10" s="47">
        <v>50</v>
      </c>
      <c r="D10" s="44">
        <v>37</v>
      </c>
      <c r="E10" s="45">
        <v>11</v>
      </c>
      <c r="F10" s="44">
        <v>26</v>
      </c>
      <c r="G10" s="39">
        <v>8</v>
      </c>
      <c r="H10" s="44">
        <v>26</v>
      </c>
      <c r="I10" s="39">
        <v>9</v>
      </c>
      <c r="J10" s="44">
        <v>32</v>
      </c>
      <c r="K10" s="39">
        <v>4</v>
      </c>
      <c r="L10" s="44">
        <f>SUM(D10,F10,H10,J10)</f>
        <v>121</v>
      </c>
      <c r="M10" s="46">
        <f>SUM(K10,I10,G10,E10)</f>
        <v>32</v>
      </c>
      <c r="N10" s="51">
        <f t="shared" si="1"/>
        <v>0.26446280991735538</v>
      </c>
    </row>
    <row r="11" spans="1:14" x14ac:dyDescent="0.25">
      <c r="A11" s="48">
        <v>2016</v>
      </c>
      <c r="B11" s="49">
        <v>8</v>
      </c>
      <c r="C11" s="47">
        <v>50</v>
      </c>
      <c r="D11" s="44">
        <v>38</v>
      </c>
      <c r="E11" s="45">
        <v>13</v>
      </c>
      <c r="F11" s="44">
        <v>31</v>
      </c>
      <c r="G11" s="39">
        <v>6</v>
      </c>
      <c r="H11" s="44">
        <v>25</v>
      </c>
      <c r="I11" s="39">
        <v>9</v>
      </c>
      <c r="J11" s="44">
        <v>38</v>
      </c>
      <c r="K11" s="39">
        <v>3</v>
      </c>
      <c r="L11" s="44">
        <v>132</v>
      </c>
      <c r="M11" s="46">
        <v>31</v>
      </c>
      <c r="N11" s="51">
        <f t="shared" si="1"/>
        <v>0.23484848484848486</v>
      </c>
    </row>
    <row r="12" spans="1:14" s="272" customFormat="1" x14ac:dyDescent="0.25">
      <c r="A12" s="267">
        <v>2020</v>
      </c>
      <c r="B12" s="268">
        <v>4</v>
      </c>
      <c r="C12" s="269">
        <v>37</v>
      </c>
      <c r="D12" s="270">
        <v>22</v>
      </c>
      <c r="E12" s="250">
        <v>8</v>
      </c>
      <c r="F12" s="270">
        <v>22</v>
      </c>
      <c r="G12" s="252">
        <v>3</v>
      </c>
      <c r="H12" s="270">
        <v>21</v>
      </c>
      <c r="I12" s="252">
        <v>10</v>
      </c>
      <c r="J12" s="270">
        <v>20</v>
      </c>
      <c r="K12" s="252">
        <v>1</v>
      </c>
      <c r="L12" s="270">
        <f>SUM(J12,H12,F12,D12)</f>
        <v>85</v>
      </c>
      <c r="M12" s="251">
        <f>SUM(K12,I12,G12,E12)</f>
        <v>22</v>
      </c>
      <c r="N12" s="271">
        <f t="shared" si="1"/>
        <v>0.25882352941176473</v>
      </c>
    </row>
  </sheetData>
  <mergeCells count="8">
    <mergeCell ref="J2:K2"/>
    <mergeCell ref="L2:N2"/>
    <mergeCell ref="B2:B3"/>
    <mergeCell ref="A2:A3"/>
    <mergeCell ref="C2:C3"/>
    <mergeCell ref="D2:E2"/>
    <mergeCell ref="F2:G2"/>
    <mergeCell ref="H2:I2"/>
  </mergeCells>
  <phoneticPr fontId="3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tabColor rgb="FF00B050"/>
  </sheetPr>
  <dimension ref="A1:H63"/>
  <sheetViews>
    <sheetView workbookViewId="0">
      <selection activeCell="B63" sqref="B63"/>
    </sheetView>
  </sheetViews>
  <sheetFormatPr defaultColWidth="11.453125" defaultRowHeight="13" x14ac:dyDescent="0.25"/>
  <cols>
    <col min="1" max="1" width="17.08984375" style="17" bestFit="1" customWidth="1"/>
    <col min="2" max="2" width="10.453125" style="20" bestFit="1" customWidth="1"/>
    <col min="3" max="3" width="10.90625" style="20" customWidth="1"/>
    <col min="4" max="4" width="9.6328125" style="20" customWidth="1"/>
    <col min="5" max="5" width="11.6328125" style="20" bestFit="1" customWidth="1"/>
    <col min="6" max="6" width="11.36328125" style="20" customWidth="1"/>
    <col min="7" max="8" width="9.453125" style="20" customWidth="1"/>
    <col min="9" max="16384" width="11.453125" style="20"/>
  </cols>
  <sheetData>
    <row r="1" spans="1:8" x14ac:dyDescent="0.25">
      <c r="A1" s="17" t="s">
        <v>24</v>
      </c>
      <c r="C1" s="66"/>
      <c r="D1" s="20" t="str">
        <f>"= Ausfüllen"</f>
        <v>= Ausfüllen</v>
      </c>
    </row>
    <row r="2" spans="1:8" s="19" customFormat="1" ht="20.25" customHeight="1" x14ac:dyDescent="0.25">
      <c r="A2" s="375" t="s">
        <v>0</v>
      </c>
      <c r="B2" s="377" t="s">
        <v>43</v>
      </c>
      <c r="C2" s="379" t="s">
        <v>42</v>
      </c>
      <c r="D2" s="67">
        <v>2020</v>
      </c>
      <c r="E2" s="68">
        <v>2016</v>
      </c>
      <c r="F2" s="68">
        <v>2012</v>
      </c>
      <c r="G2" s="68">
        <v>2008</v>
      </c>
      <c r="H2" s="69">
        <v>2004</v>
      </c>
    </row>
    <row r="3" spans="1:8" s="28" customFormat="1" ht="20.25" customHeight="1" x14ac:dyDescent="0.25">
      <c r="A3" s="376"/>
      <c r="B3" s="378"/>
      <c r="C3" s="399"/>
      <c r="D3" s="70" t="s">
        <v>22</v>
      </c>
      <c r="E3" s="71" t="s">
        <v>22</v>
      </c>
      <c r="F3" s="71" t="s">
        <v>22</v>
      </c>
      <c r="G3" s="71" t="s">
        <v>22</v>
      </c>
      <c r="H3" s="72" t="s">
        <v>22</v>
      </c>
    </row>
    <row r="4" spans="1:8" ht="6" customHeight="1" x14ac:dyDescent="0.25">
      <c r="A4" s="73"/>
      <c r="B4" s="74"/>
      <c r="C4" s="75"/>
      <c r="D4" s="76"/>
      <c r="E4" s="245"/>
      <c r="F4" s="77"/>
      <c r="G4" s="77"/>
      <c r="H4" s="77"/>
    </row>
    <row r="5" spans="1:8" x14ac:dyDescent="0.25">
      <c r="A5" s="78" t="s">
        <v>1</v>
      </c>
      <c r="B5" s="79">
        <v>6636</v>
      </c>
      <c r="C5" s="30">
        <v>2827</v>
      </c>
      <c r="D5" s="80">
        <f t="shared" ref="D5:D8" si="0">C5/B5*100</f>
        <v>42.600964436407473</v>
      </c>
      <c r="E5" s="273">
        <v>58.939486552567232</v>
      </c>
      <c r="F5" s="81">
        <v>49.155458242101972</v>
      </c>
      <c r="G5" s="81">
        <v>39.536023525567714</v>
      </c>
      <c r="H5" s="81">
        <v>47.4</v>
      </c>
    </row>
    <row r="6" spans="1:8" x14ac:dyDescent="0.25">
      <c r="A6" s="78" t="s">
        <v>3</v>
      </c>
      <c r="B6" s="79">
        <v>3073</v>
      </c>
      <c r="C6" s="30">
        <v>1343</v>
      </c>
      <c r="D6" s="80">
        <f t="shared" si="0"/>
        <v>43.703221607549622</v>
      </c>
      <c r="E6" s="273">
        <v>62.211827597728032</v>
      </c>
      <c r="F6" s="81">
        <v>50.272665303340148</v>
      </c>
      <c r="G6" s="81">
        <v>42.695473251028808</v>
      </c>
      <c r="H6" s="81">
        <v>46.2</v>
      </c>
    </row>
    <row r="7" spans="1:8" x14ac:dyDescent="0.25">
      <c r="A7" s="78" t="s">
        <v>4</v>
      </c>
      <c r="B7" s="79">
        <v>2545</v>
      </c>
      <c r="C7" s="30">
        <v>1124</v>
      </c>
      <c r="D7" s="80">
        <f>C7/B7*100</f>
        <v>44.165029469548131</v>
      </c>
      <c r="E7" s="273">
        <v>61.310698776154759</v>
      </c>
      <c r="F7" s="81">
        <v>46.156787762906312</v>
      </c>
      <c r="G7" s="81">
        <v>42.186326070623593</v>
      </c>
      <c r="H7" s="81">
        <v>50.6</v>
      </c>
    </row>
    <row r="8" spans="1:8" x14ac:dyDescent="0.25">
      <c r="A8" s="78" t="s">
        <v>6</v>
      </c>
      <c r="B8" s="79">
        <v>3989</v>
      </c>
      <c r="C8" s="30">
        <v>1629</v>
      </c>
      <c r="D8" s="80">
        <f t="shared" si="0"/>
        <v>40.837302582100776</v>
      </c>
      <c r="E8" s="273">
        <v>61.137566137566132</v>
      </c>
      <c r="F8" s="82">
        <v>45.70740839796737</v>
      </c>
      <c r="G8" s="82">
        <v>38.192904656319293</v>
      </c>
      <c r="H8" s="82">
        <v>46</v>
      </c>
    </row>
    <row r="9" spans="1:8" ht="6" customHeight="1" x14ac:dyDescent="0.25">
      <c r="A9" s="83"/>
      <c r="B9" s="84"/>
      <c r="C9" s="36"/>
      <c r="D9" s="85"/>
      <c r="E9" s="86"/>
      <c r="F9" s="86"/>
      <c r="G9" s="86"/>
      <c r="H9" s="86"/>
    </row>
    <row r="10" spans="1:8" s="53" customFormat="1" ht="36" customHeight="1" x14ac:dyDescent="0.25">
      <c r="A10" s="87" t="s">
        <v>36</v>
      </c>
      <c r="B10" s="88">
        <f>SUM(B5:B8)</f>
        <v>16243</v>
      </c>
      <c r="C10" s="88">
        <f>SUM(C5:C8)</f>
        <v>6923</v>
      </c>
      <c r="D10" s="89">
        <f>C10/B10*100</f>
        <v>42.621436926676104</v>
      </c>
      <c r="E10" s="96"/>
      <c r="F10" s="96"/>
      <c r="G10" s="90"/>
      <c r="H10" s="90"/>
    </row>
    <row r="11" spans="1:8" ht="6" customHeight="1" x14ac:dyDescent="0.25">
      <c r="A11" s="91"/>
      <c r="B11" s="92"/>
      <c r="C11" s="93"/>
      <c r="D11" s="94"/>
      <c r="E11" s="275"/>
      <c r="F11" s="93"/>
      <c r="G11" s="93"/>
      <c r="H11" s="93"/>
    </row>
    <row r="12" spans="1:8" x14ac:dyDescent="0.25">
      <c r="A12" s="78" t="s">
        <v>16</v>
      </c>
      <c r="B12" s="79">
        <v>933</v>
      </c>
      <c r="C12" s="30">
        <v>471</v>
      </c>
      <c r="D12" s="80">
        <f>C12/B12*100</f>
        <v>50.482315112540185</v>
      </c>
      <c r="E12" s="273">
        <v>78.223185265438786</v>
      </c>
      <c r="F12" s="82">
        <v>49.094781682641106</v>
      </c>
      <c r="G12" s="82">
        <v>49.73375931842385</v>
      </c>
      <c r="H12" s="82">
        <v>50</v>
      </c>
    </row>
    <row r="13" spans="1:8" x14ac:dyDescent="0.25">
      <c r="A13" s="78" t="s">
        <v>2</v>
      </c>
      <c r="B13" s="79"/>
      <c r="C13" s="30"/>
      <c r="D13" s="80" t="s">
        <v>38</v>
      </c>
      <c r="E13" s="273">
        <v>59.982788296041313</v>
      </c>
      <c r="F13" s="81">
        <v>57.917760279965002</v>
      </c>
      <c r="G13" s="81">
        <v>44.107142857142854</v>
      </c>
      <c r="H13" s="81">
        <v>54.7</v>
      </c>
    </row>
    <row r="14" spans="1:8" x14ac:dyDescent="0.25">
      <c r="A14" s="78" t="s">
        <v>34</v>
      </c>
      <c r="B14" s="79"/>
      <c r="C14" s="30"/>
      <c r="D14" s="80" t="s">
        <v>39</v>
      </c>
      <c r="E14" s="273" t="s">
        <v>39</v>
      </c>
      <c r="F14" s="82" t="s">
        <v>39</v>
      </c>
      <c r="G14" s="82" t="s">
        <v>39</v>
      </c>
      <c r="H14" s="82" t="s">
        <v>39</v>
      </c>
    </row>
    <row r="15" spans="1:8" x14ac:dyDescent="0.25">
      <c r="A15" s="78" t="s">
        <v>5</v>
      </c>
      <c r="B15" s="79">
        <v>1411</v>
      </c>
      <c r="C15" s="30">
        <v>710</v>
      </c>
      <c r="D15" s="80">
        <f>C15/B15*100</f>
        <v>50.318922749822825</v>
      </c>
      <c r="E15" s="273">
        <v>67.067137809187287</v>
      </c>
      <c r="F15" s="81">
        <v>47.466095645967165</v>
      </c>
      <c r="G15" s="81">
        <v>39.380530973451329</v>
      </c>
      <c r="H15" s="81">
        <v>44</v>
      </c>
    </row>
    <row r="16" spans="1:8" x14ac:dyDescent="0.25">
      <c r="A16" s="78" t="s">
        <v>25</v>
      </c>
      <c r="B16" s="79">
        <v>309</v>
      </c>
      <c r="C16" s="30">
        <v>185</v>
      </c>
      <c r="D16" s="80">
        <f>C16/B16*100</f>
        <v>59.870550161812297</v>
      </c>
      <c r="E16" s="273">
        <v>68.253968253968253</v>
      </c>
      <c r="F16" s="82">
        <v>52</v>
      </c>
      <c r="G16" s="82">
        <v>46.857142857142861</v>
      </c>
      <c r="H16" s="82">
        <v>48.4</v>
      </c>
    </row>
    <row r="17" spans="1:8" x14ac:dyDescent="0.25">
      <c r="A17" s="78" t="s">
        <v>26</v>
      </c>
      <c r="B17" s="79">
        <v>412</v>
      </c>
      <c r="C17" s="30">
        <v>200</v>
      </c>
      <c r="D17" s="80">
        <f>C17/B17*100</f>
        <v>48.543689320388353</v>
      </c>
      <c r="E17" s="273">
        <v>73.820754716981128</v>
      </c>
      <c r="F17" s="82">
        <v>58.444444444444443</v>
      </c>
      <c r="G17" s="82">
        <v>24.691358024691358</v>
      </c>
      <c r="H17" s="82">
        <v>58.1</v>
      </c>
    </row>
    <row r="18" spans="1:8" x14ac:dyDescent="0.25">
      <c r="A18" s="78" t="s">
        <v>27</v>
      </c>
      <c r="B18" s="79">
        <v>142</v>
      </c>
      <c r="C18" s="30">
        <v>68</v>
      </c>
      <c r="D18" s="80">
        <f>C18/B18*100</f>
        <v>47.887323943661968</v>
      </c>
      <c r="E18" s="273">
        <v>60.416666666666664</v>
      </c>
      <c r="F18" s="82">
        <v>53.424657534246577</v>
      </c>
      <c r="G18" s="82">
        <v>54.374999999999993</v>
      </c>
      <c r="H18" s="82">
        <v>77</v>
      </c>
    </row>
    <row r="19" spans="1:8" x14ac:dyDescent="0.25">
      <c r="A19" s="78" t="s">
        <v>35</v>
      </c>
      <c r="B19" s="79"/>
      <c r="C19" s="30"/>
      <c r="D19" s="80" t="s">
        <v>39</v>
      </c>
      <c r="E19" s="273" t="s">
        <v>39</v>
      </c>
      <c r="F19" s="82" t="s">
        <v>39</v>
      </c>
      <c r="G19" s="82" t="s">
        <v>39</v>
      </c>
      <c r="H19" s="82" t="s">
        <v>39</v>
      </c>
    </row>
    <row r="20" spans="1:8" x14ac:dyDescent="0.25">
      <c r="A20" s="78" t="s">
        <v>28</v>
      </c>
      <c r="B20" s="79">
        <v>114</v>
      </c>
      <c r="C20" s="30">
        <v>76</v>
      </c>
      <c r="D20" s="80">
        <f t="shared" ref="D20:D26" si="1">C20/B20*100</f>
        <v>66.666666666666657</v>
      </c>
      <c r="E20" s="273">
        <v>78.400000000000006</v>
      </c>
      <c r="F20" s="82">
        <v>56.8</v>
      </c>
      <c r="G20" s="82">
        <v>50</v>
      </c>
      <c r="H20" s="82">
        <v>59</v>
      </c>
    </row>
    <row r="21" spans="1:8" x14ac:dyDescent="0.25">
      <c r="A21" s="78" t="s">
        <v>7</v>
      </c>
      <c r="B21" s="79">
        <v>1306</v>
      </c>
      <c r="C21" s="30">
        <v>700</v>
      </c>
      <c r="D21" s="80">
        <f t="shared" si="1"/>
        <v>53.598774885145481</v>
      </c>
      <c r="E21" s="274" t="s">
        <v>38</v>
      </c>
      <c r="F21" s="82">
        <v>48.412698412698411</v>
      </c>
      <c r="G21" s="82">
        <v>35.289323553382232</v>
      </c>
      <c r="H21" s="82">
        <v>56.9</v>
      </c>
    </row>
    <row r="22" spans="1:8" x14ac:dyDescent="0.25">
      <c r="A22" s="78" t="s">
        <v>29</v>
      </c>
      <c r="B22" s="79"/>
      <c r="C22" s="30"/>
      <c r="D22" s="80" t="s">
        <v>38</v>
      </c>
      <c r="E22" s="273">
        <v>52.12765957446809</v>
      </c>
      <c r="F22" s="82">
        <v>42.826086956521742</v>
      </c>
      <c r="G22" s="82">
        <v>24.463519313304722</v>
      </c>
      <c r="H22" s="82">
        <v>35.700000000000003</v>
      </c>
    </row>
    <row r="23" spans="1:8" x14ac:dyDescent="0.25">
      <c r="A23" s="78" t="s">
        <v>8</v>
      </c>
      <c r="B23" s="79"/>
      <c r="C23" s="30"/>
      <c r="D23" s="80" t="s">
        <v>38</v>
      </c>
      <c r="E23" s="273">
        <v>63.912201420271145</v>
      </c>
      <c r="F23" s="107" t="s">
        <v>38</v>
      </c>
      <c r="G23" s="82">
        <v>36.311423101467774</v>
      </c>
      <c r="H23" s="82">
        <v>50</v>
      </c>
    </row>
    <row r="24" spans="1:8" x14ac:dyDescent="0.25">
      <c r="A24" s="78" t="s">
        <v>30</v>
      </c>
      <c r="B24" s="79">
        <v>234</v>
      </c>
      <c r="C24" s="30">
        <v>74</v>
      </c>
      <c r="D24" s="80">
        <f t="shared" si="1"/>
        <v>31.623931623931622</v>
      </c>
      <c r="E24" s="273">
        <v>56.078431372549019</v>
      </c>
      <c r="F24" s="82">
        <v>47.252747252747248</v>
      </c>
      <c r="G24" s="82">
        <v>32.835820895522389</v>
      </c>
      <c r="H24" s="82">
        <v>40</v>
      </c>
    </row>
    <row r="25" spans="1:8" x14ac:dyDescent="0.25">
      <c r="A25" s="78" t="s">
        <v>31</v>
      </c>
      <c r="B25" s="79">
        <v>664</v>
      </c>
      <c r="C25" s="30">
        <v>316</v>
      </c>
      <c r="D25" s="80">
        <f t="shared" si="1"/>
        <v>47.590361445783131</v>
      </c>
      <c r="E25" s="273">
        <v>51.593323216995444</v>
      </c>
      <c r="F25" s="82">
        <v>63.955342902711322</v>
      </c>
      <c r="G25" s="82">
        <v>55.130168453292491</v>
      </c>
      <c r="H25" s="82">
        <v>37.4</v>
      </c>
    </row>
    <row r="26" spans="1:8" x14ac:dyDescent="0.25">
      <c r="A26" s="78" t="s">
        <v>32</v>
      </c>
      <c r="B26" s="79">
        <v>543</v>
      </c>
      <c r="C26" s="30">
        <v>280</v>
      </c>
      <c r="D26" s="80">
        <f t="shared" si="1"/>
        <v>51.565377532228361</v>
      </c>
      <c r="E26" s="273">
        <v>64.684014869888472</v>
      </c>
      <c r="F26" s="82">
        <v>75.384615384615387</v>
      </c>
      <c r="G26" s="82">
        <v>37.524177949709866</v>
      </c>
      <c r="H26" s="82" t="s">
        <v>39</v>
      </c>
    </row>
    <row r="27" spans="1:8" x14ac:dyDescent="0.25">
      <c r="A27" s="78" t="s">
        <v>33</v>
      </c>
      <c r="B27" s="79"/>
      <c r="C27" s="30"/>
      <c r="D27" s="80" t="s">
        <v>38</v>
      </c>
      <c r="E27" s="273">
        <v>76.109215017064841</v>
      </c>
      <c r="F27" s="82">
        <v>49.546827794561935</v>
      </c>
      <c r="G27" s="82">
        <v>43.026706231454007</v>
      </c>
      <c r="H27" s="82">
        <v>60.4</v>
      </c>
    </row>
    <row r="28" spans="1:8" ht="6" customHeight="1" x14ac:dyDescent="0.25">
      <c r="A28" s="78"/>
      <c r="B28" s="79"/>
      <c r="C28" s="30"/>
      <c r="D28" s="95"/>
      <c r="E28" s="82"/>
      <c r="F28" s="30"/>
      <c r="G28" s="30"/>
      <c r="H28" s="30"/>
    </row>
    <row r="29" spans="1:8" s="53" customFormat="1" ht="35.25" customHeight="1" x14ac:dyDescent="0.25">
      <c r="A29" s="87" t="s">
        <v>37</v>
      </c>
      <c r="B29" s="88">
        <f>SUM(B12:B27)</f>
        <v>6068</v>
      </c>
      <c r="C29" s="88">
        <f>SUM(C12:C27)</f>
        <v>3080</v>
      </c>
      <c r="D29" s="89">
        <f>C29/(B29)*100</f>
        <v>50.758075148319051</v>
      </c>
      <c r="E29" s="96"/>
      <c r="F29" s="96"/>
      <c r="G29" s="96"/>
      <c r="H29" s="90"/>
    </row>
    <row r="30" spans="1:8" ht="6" customHeight="1" x14ac:dyDescent="0.25">
      <c r="A30" s="78"/>
      <c r="B30" s="79"/>
      <c r="C30" s="30"/>
      <c r="D30" s="95"/>
      <c r="E30" s="82"/>
      <c r="F30" s="30"/>
      <c r="G30" s="30"/>
      <c r="H30" s="30"/>
    </row>
    <row r="31" spans="1:8" s="53" customFormat="1" ht="21.75" customHeight="1" x14ac:dyDescent="0.25">
      <c r="A31" s="97" t="s">
        <v>9</v>
      </c>
      <c r="B31" s="98">
        <f>B29+B10</f>
        <v>22311</v>
      </c>
      <c r="C31" s="25">
        <f>C29+C10</f>
        <v>10003</v>
      </c>
      <c r="D31" s="99">
        <f>C31/(B31)*100</f>
        <v>44.834386625431399</v>
      </c>
      <c r="E31" s="100"/>
      <c r="F31" s="100"/>
      <c r="G31" s="100"/>
      <c r="H31" s="25"/>
    </row>
    <row r="32" spans="1:8" ht="3" customHeight="1" x14ac:dyDescent="0.25">
      <c r="A32" s="83"/>
      <c r="B32" s="84"/>
      <c r="C32" s="36"/>
      <c r="D32" s="101"/>
      <c r="E32" s="36"/>
      <c r="F32" s="36"/>
      <c r="G32" s="36"/>
      <c r="H32" s="36"/>
    </row>
    <row r="35" spans="1:6" x14ac:dyDescent="0.25">
      <c r="A35" s="17" t="s">
        <v>40</v>
      </c>
    </row>
    <row r="37" spans="1:6" s="19" customFormat="1" ht="20.25" customHeight="1" x14ac:dyDescent="0.25">
      <c r="A37" s="375" t="s">
        <v>0</v>
      </c>
      <c r="B37" s="377" t="s">
        <v>43</v>
      </c>
      <c r="C37" s="379" t="s">
        <v>41</v>
      </c>
      <c r="D37" s="400" t="s">
        <v>22</v>
      </c>
      <c r="E37" s="377" t="s">
        <v>79</v>
      </c>
      <c r="F37" s="400" t="s">
        <v>22</v>
      </c>
    </row>
    <row r="38" spans="1:6" s="28" customFormat="1" ht="30" customHeight="1" x14ac:dyDescent="0.25">
      <c r="A38" s="376"/>
      <c r="B38" s="378"/>
      <c r="C38" s="399"/>
      <c r="D38" s="401"/>
      <c r="E38" s="378"/>
      <c r="F38" s="401"/>
    </row>
    <row r="39" spans="1:6" ht="6" customHeight="1" x14ac:dyDescent="0.25">
      <c r="A39" s="73"/>
      <c r="B39" s="74"/>
      <c r="C39" s="75"/>
      <c r="D39" s="76"/>
      <c r="E39" s="77"/>
      <c r="F39" s="76"/>
    </row>
    <row r="40" spans="1:6" x14ac:dyDescent="0.25">
      <c r="A40" s="78" t="s">
        <v>1</v>
      </c>
      <c r="B40" s="79">
        <v>6975</v>
      </c>
      <c r="C40" s="367">
        <v>3612</v>
      </c>
      <c r="D40" s="80">
        <f t="shared" ref="D40:D45" si="2">C40/B40*100</f>
        <v>51.784946236559136</v>
      </c>
      <c r="E40" s="368">
        <v>3234</v>
      </c>
      <c r="F40" s="80">
        <f t="shared" ref="F40:F43" si="3">E40/B40*100</f>
        <v>46.365591397849464</v>
      </c>
    </row>
    <row r="41" spans="1:6" x14ac:dyDescent="0.25">
      <c r="A41" s="78" t="s">
        <v>3</v>
      </c>
      <c r="B41" s="79">
        <v>2936</v>
      </c>
      <c r="C41" s="367">
        <v>1633</v>
      </c>
      <c r="D41" s="80">
        <f t="shared" si="2"/>
        <v>55.619891008174385</v>
      </c>
      <c r="E41" s="368">
        <v>1717</v>
      </c>
      <c r="F41" s="80">
        <f t="shared" si="3"/>
        <v>58.480926430517712</v>
      </c>
    </row>
    <row r="42" spans="1:6" x14ac:dyDescent="0.25">
      <c r="A42" s="78" t="s">
        <v>4</v>
      </c>
      <c r="B42" s="79">
        <v>2455</v>
      </c>
      <c r="C42" s="367">
        <v>1334</v>
      </c>
      <c r="D42" s="80">
        <f t="shared" si="2"/>
        <v>54.338085539714868</v>
      </c>
      <c r="E42" s="368">
        <v>1361</v>
      </c>
      <c r="F42" s="80">
        <f t="shared" si="3"/>
        <v>55.437881873727093</v>
      </c>
    </row>
    <row r="43" spans="1:6" x14ac:dyDescent="0.25">
      <c r="A43" s="78" t="s">
        <v>6</v>
      </c>
      <c r="B43" s="79">
        <v>3948</v>
      </c>
      <c r="C43" s="367">
        <v>2071</v>
      </c>
      <c r="D43" s="80">
        <f t="shared" si="2"/>
        <v>52.456940222897671</v>
      </c>
      <c r="E43" s="367">
        <v>2164</v>
      </c>
      <c r="F43" s="80">
        <f t="shared" si="3"/>
        <v>54.812563323201623</v>
      </c>
    </row>
    <row r="44" spans="1:6" ht="6" customHeight="1" x14ac:dyDescent="0.25">
      <c r="A44" s="83"/>
      <c r="B44" s="84"/>
      <c r="C44" s="36"/>
      <c r="D44" s="85"/>
      <c r="E44" s="103"/>
      <c r="F44" s="85"/>
    </row>
    <row r="45" spans="1:6" s="53" customFormat="1" ht="36" customHeight="1" x14ac:dyDescent="0.25">
      <c r="A45" s="87" t="s">
        <v>36</v>
      </c>
      <c r="B45" s="88">
        <f>SUM(B40:B43)</f>
        <v>16314</v>
      </c>
      <c r="C45" s="88">
        <f>SUM(C40:C43)</f>
        <v>8650</v>
      </c>
      <c r="D45" s="89">
        <f t="shared" si="2"/>
        <v>53.021944342282701</v>
      </c>
      <c r="E45" s="104">
        <f>SUM(E40:E43)</f>
        <v>8476</v>
      </c>
      <c r="F45" s="89">
        <f>E45/B45*100</f>
        <v>51.955375750888813</v>
      </c>
    </row>
    <row r="46" spans="1:6" ht="6" customHeight="1" x14ac:dyDescent="0.25">
      <c r="A46" s="91"/>
      <c r="B46" s="92"/>
      <c r="C46" s="93"/>
      <c r="D46" s="94"/>
      <c r="E46" s="105"/>
      <c r="F46" s="94"/>
    </row>
    <row r="47" spans="1:6" x14ac:dyDescent="0.25">
      <c r="A47" s="78" t="s">
        <v>16</v>
      </c>
      <c r="B47" s="79">
        <v>951</v>
      </c>
      <c r="C47" s="367">
        <v>621</v>
      </c>
      <c r="D47" s="369">
        <v>65.3</v>
      </c>
      <c r="E47" s="367">
        <v>562</v>
      </c>
      <c r="F47" s="80">
        <f t="shared" ref="F47:F61" si="4">E47/B47*100</f>
        <v>59.095688748685596</v>
      </c>
    </row>
    <row r="48" spans="1:6" x14ac:dyDescent="0.25">
      <c r="A48" s="78" t="s">
        <v>2</v>
      </c>
      <c r="B48" s="79">
        <v>1309</v>
      </c>
      <c r="C48" s="367">
        <v>734</v>
      </c>
      <c r="D48" s="369">
        <v>56.1</v>
      </c>
      <c r="E48" s="368">
        <v>760</v>
      </c>
      <c r="F48" s="80">
        <f>E48/B48*100</f>
        <v>58.059587471352181</v>
      </c>
    </row>
    <row r="49" spans="1:6" x14ac:dyDescent="0.25">
      <c r="A49" s="78" t="s">
        <v>5</v>
      </c>
      <c r="B49" s="79">
        <v>1422</v>
      </c>
      <c r="C49" s="367">
        <v>869</v>
      </c>
      <c r="D49" s="369">
        <v>61.1</v>
      </c>
      <c r="E49" s="368">
        <v>846</v>
      </c>
      <c r="F49" s="80">
        <f>E49/B49*100</f>
        <v>59.493670886075947</v>
      </c>
    </row>
    <row r="50" spans="1:6" x14ac:dyDescent="0.25">
      <c r="A50" s="78" t="s">
        <v>25</v>
      </c>
      <c r="B50" s="79">
        <v>290</v>
      </c>
      <c r="C50" s="367">
        <v>198</v>
      </c>
      <c r="D50" s="369">
        <v>68.3</v>
      </c>
      <c r="E50" s="367">
        <v>180</v>
      </c>
      <c r="F50" s="80">
        <f t="shared" si="4"/>
        <v>62.068965517241381</v>
      </c>
    </row>
    <row r="51" spans="1:6" x14ac:dyDescent="0.25">
      <c r="A51" s="78" t="s">
        <v>26</v>
      </c>
      <c r="B51" s="79">
        <v>394</v>
      </c>
      <c r="C51" s="367">
        <v>206</v>
      </c>
      <c r="D51" s="369">
        <v>52.3</v>
      </c>
      <c r="E51" s="367">
        <v>220</v>
      </c>
      <c r="F51" s="80">
        <f t="shared" si="4"/>
        <v>55.837563451776653</v>
      </c>
    </row>
    <row r="52" spans="1:6" x14ac:dyDescent="0.25">
      <c r="A52" s="78" t="s">
        <v>27</v>
      </c>
      <c r="B52" s="79">
        <v>124</v>
      </c>
      <c r="C52" s="367">
        <v>63</v>
      </c>
      <c r="D52" s="369">
        <v>50.8</v>
      </c>
      <c r="E52" s="367">
        <v>62</v>
      </c>
      <c r="F52" s="80">
        <f t="shared" si="4"/>
        <v>50</v>
      </c>
    </row>
    <row r="53" spans="1:6" x14ac:dyDescent="0.25">
      <c r="A53" s="78" t="s">
        <v>35</v>
      </c>
      <c r="B53" s="79">
        <v>354</v>
      </c>
      <c r="C53" s="367" t="s">
        <v>39</v>
      </c>
      <c r="D53" s="369" t="s">
        <v>39</v>
      </c>
      <c r="E53" s="367">
        <v>189</v>
      </c>
      <c r="F53" s="80">
        <f t="shared" si="4"/>
        <v>53.389830508474581</v>
      </c>
    </row>
    <row r="54" spans="1:6" x14ac:dyDescent="0.25">
      <c r="A54" s="78" t="s">
        <v>28</v>
      </c>
      <c r="B54" s="79">
        <v>111</v>
      </c>
      <c r="C54" s="367">
        <v>74</v>
      </c>
      <c r="D54" s="369">
        <v>66.7</v>
      </c>
      <c r="E54" s="367">
        <v>75</v>
      </c>
      <c r="F54" s="80">
        <f t="shared" si="4"/>
        <v>67.567567567567565</v>
      </c>
    </row>
    <row r="55" spans="1:6" x14ac:dyDescent="0.25">
      <c r="A55" s="78" t="s">
        <v>7</v>
      </c>
      <c r="B55" s="79">
        <v>1461</v>
      </c>
      <c r="C55" s="367">
        <v>817</v>
      </c>
      <c r="D55" s="369">
        <v>55.9</v>
      </c>
      <c r="E55" s="367">
        <v>842</v>
      </c>
      <c r="F55" s="80">
        <f>E55/B55*100</f>
        <v>57.63175906913073</v>
      </c>
    </row>
    <row r="56" spans="1:6" x14ac:dyDescent="0.25">
      <c r="A56" s="78" t="s">
        <v>8</v>
      </c>
      <c r="B56" s="79">
        <v>1564</v>
      </c>
      <c r="C56" s="367" t="s">
        <v>38</v>
      </c>
      <c r="D56" s="369">
        <v>57.4</v>
      </c>
      <c r="E56" s="367">
        <v>896</v>
      </c>
      <c r="F56" s="80">
        <f>E56/B56*100</f>
        <v>57.289002557544755</v>
      </c>
    </row>
    <row r="57" spans="1:6" x14ac:dyDescent="0.25">
      <c r="A57" s="78" t="s">
        <v>29</v>
      </c>
      <c r="B57" s="79">
        <v>521</v>
      </c>
      <c r="C57" s="367">
        <v>299</v>
      </c>
      <c r="D57" s="369" t="s">
        <v>38</v>
      </c>
      <c r="E57" s="367">
        <v>256</v>
      </c>
      <c r="F57" s="80">
        <f t="shared" si="4"/>
        <v>49.136276391554702</v>
      </c>
    </row>
    <row r="58" spans="1:6" x14ac:dyDescent="0.25">
      <c r="A58" s="78" t="s">
        <v>30</v>
      </c>
      <c r="B58" s="79">
        <v>238</v>
      </c>
      <c r="C58" s="367">
        <v>132</v>
      </c>
      <c r="D58" s="369">
        <v>55.5</v>
      </c>
      <c r="E58" s="367">
        <v>132</v>
      </c>
      <c r="F58" s="80">
        <f t="shared" si="4"/>
        <v>55.462184873949582</v>
      </c>
    </row>
    <row r="59" spans="1:6" x14ac:dyDescent="0.25">
      <c r="A59" s="78" t="s">
        <v>31</v>
      </c>
      <c r="B59" s="79">
        <v>696</v>
      </c>
      <c r="C59" s="367">
        <v>333</v>
      </c>
      <c r="D59" s="369">
        <v>47.8</v>
      </c>
      <c r="E59" s="367">
        <v>368</v>
      </c>
      <c r="F59" s="80">
        <f t="shared" si="4"/>
        <v>52.873563218390807</v>
      </c>
    </row>
    <row r="60" spans="1:6" x14ac:dyDescent="0.25">
      <c r="A60" s="78" t="s">
        <v>32</v>
      </c>
      <c r="B60" s="79">
        <v>557</v>
      </c>
      <c r="C60" s="367">
        <v>313</v>
      </c>
      <c r="D60" s="369">
        <v>56.2</v>
      </c>
      <c r="E60" s="367">
        <v>319</v>
      </c>
      <c r="F60" s="80">
        <f t="shared" si="4"/>
        <v>57.271095152603237</v>
      </c>
    </row>
    <row r="61" spans="1:6" x14ac:dyDescent="0.25">
      <c r="A61" s="78" t="s">
        <v>33</v>
      </c>
      <c r="B61" s="79">
        <v>253</v>
      </c>
      <c r="C61" s="367" t="s">
        <v>38</v>
      </c>
      <c r="D61" s="369" t="s">
        <v>38</v>
      </c>
      <c r="E61" s="367">
        <v>151</v>
      </c>
      <c r="F61" s="80">
        <f t="shared" si="4"/>
        <v>59.683794466403164</v>
      </c>
    </row>
    <row r="62" spans="1:6" ht="6" customHeight="1" x14ac:dyDescent="0.25">
      <c r="A62" s="78"/>
      <c r="B62" s="79"/>
      <c r="C62" s="30"/>
      <c r="D62" s="95"/>
      <c r="E62" s="106"/>
      <c r="F62" s="95"/>
    </row>
    <row r="63" spans="1:6" s="53" customFormat="1" ht="35.25" customHeight="1" x14ac:dyDescent="0.25">
      <c r="A63" s="87" t="s">
        <v>37</v>
      </c>
      <c r="B63" s="88">
        <f>SUM(B47:B61)-B53-B56-B61</f>
        <v>8074</v>
      </c>
      <c r="C63" s="88">
        <f>SUM(C47:C61)</f>
        <v>4659</v>
      </c>
      <c r="D63" s="89">
        <f>C63/(B63)*100</f>
        <v>57.703740401288087</v>
      </c>
      <c r="E63" s="104">
        <f>SUM(E47:E61)</f>
        <v>5858</v>
      </c>
      <c r="F63" s="89">
        <f>E63/SUM(B47:B61)*100</f>
        <v>57.179111761835046</v>
      </c>
    </row>
  </sheetData>
  <sortState xmlns:xlrd2="http://schemas.microsoft.com/office/spreadsheetml/2017/richdata2" ref="A45:F45">
    <sortCondition ref="A4"/>
    <sortCondition ref="F4"/>
    <sortCondition descending="1" ref="E4"/>
  </sortState>
  <mergeCells count="9">
    <mergeCell ref="A2:A3"/>
    <mergeCell ref="B2:B3"/>
    <mergeCell ref="C2:C3"/>
    <mergeCell ref="E37:E38"/>
    <mergeCell ref="F37:F38"/>
    <mergeCell ref="A37:A38"/>
    <mergeCell ref="B37:B38"/>
    <mergeCell ref="C37:C38"/>
    <mergeCell ref="D37:D38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tabColor rgb="FFFF9999"/>
  </sheetPr>
  <dimension ref="A1:AA29"/>
  <sheetViews>
    <sheetView showGridLines="0" zoomScale="110" zoomScaleNormal="110" workbookViewId="0">
      <selection activeCell="AC34" sqref="AC34"/>
    </sheetView>
  </sheetViews>
  <sheetFormatPr defaultColWidth="10.90625" defaultRowHeight="12.5" x14ac:dyDescent="0.25"/>
  <cols>
    <col min="1" max="1" width="13" style="5" customWidth="1"/>
    <col min="2" max="2" width="4.90625" style="1" customWidth="1"/>
    <col min="3" max="3" width="4.36328125" style="4" customWidth="1"/>
    <col min="4" max="4" width="5.36328125" style="4" customWidth="1"/>
    <col min="5" max="5" width="4.36328125" style="4" customWidth="1"/>
    <col min="6" max="6" width="5.36328125" style="4" customWidth="1"/>
    <col min="7" max="7" width="4.36328125" style="4" customWidth="1"/>
    <col min="8" max="8" width="5.36328125" style="4" customWidth="1"/>
    <col min="9" max="9" width="4.36328125" style="4" customWidth="1"/>
    <col min="10" max="10" width="5.36328125" style="4" customWidth="1"/>
    <col min="11" max="11" width="14.453125" style="4" customWidth="1"/>
    <col min="12" max="12" width="8.984375E-2" style="4" customWidth="1"/>
    <col min="13" max="13" width="4.36328125" style="4" customWidth="1"/>
    <col min="14" max="14" width="5.36328125" style="4" customWidth="1"/>
    <col min="15" max="15" width="4.36328125" style="4" customWidth="1"/>
    <col min="16" max="16" width="5.36328125" style="4" customWidth="1"/>
    <col min="17" max="17" width="4.36328125" style="4" customWidth="1"/>
    <col min="18" max="18" width="5.36328125" style="4" bestFit="1" customWidth="1"/>
    <col min="19" max="19" width="4.36328125" style="4" customWidth="1"/>
    <col min="20" max="20" width="5.36328125" style="4" bestFit="1" customWidth="1"/>
    <col min="21" max="21" width="4.36328125" customWidth="1"/>
    <col min="22" max="22" width="5.453125" customWidth="1"/>
    <col min="23" max="23" width="4.36328125" customWidth="1"/>
    <col min="24" max="24" width="5.36328125" customWidth="1"/>
  </cols>
  <sheetData>
    <row r="1" spans="1:27" x14ac:dyDescent="0.25">
      <c r="A1" s="5" t="s">
        <v>88</v>
      </c>
    </row>
    <row r="2" spans="1:27" s="2" customFormat="1" ht="27" customHeight="1" x14ac:dyDescent="0.25">
      <c r="A2" s="384" t="s">
        <v>0</v>
      </c>
      <c r="B2" s="386" t="s">
        <v>9</v>
      </c>
      <c r="C2" s="382" t="s">
        <v>11</v>
      </c>
      <c r="D2" s="402"/>
      <c r="E2" s="402"/>
      <c r="F2" s="383"/>
      <c r="G2" s="382" t="s">
        <v>19</v>
      </c>
      <c r="H2" s="402"/>
      <c r="I2" s="402"/>
      <c r="J2" s="383"/>
      <c r="K2" s="377" t="s">
        <v>0</v>
      </c>
      <c r="L2" s="381" t="s">
        <v>9</v>
      </c>
      <c r="M2" s="382" t="s">
        <v>20</v>
      </c>
      <c r="N2" s="402"/>
      <c r="O2" s="402"/>
      <c r="P2" s="383"/>
      <c r="Q2" s="382" t="s">
        <v>21</v>
      </c>
      <c r="R2" s="402"/>
      <c r="S2" s="402"/>
      <c r="T2" s="383"/>
    </row>
    <row r="3" spans="1:27" s="7" customFormat="1" ht="27" customHeight="1" x14ac:dyDescent="0.25">
      <c r="A3" s="404"/>
      <c r="B3" s="405"/>
      <c r="C3" s="397" t="s">
        <v>44</v>
      </c>
      <c r="D3" s="403"/>
      <c r="E3" s="403" t="s">
        <v>45</v>
      </c>
      <c r="F3" s="398"/>
      <c r="G3" s="397" t="s">
        <v>44</v>
      </c>
      <c r="H3" s="403"/>
      <c r="I3" s="403" t="s">
        <v>45</v>
      </c>
      <c r="J3" s="398"/>
      <c r="K3" s="406"/>
      <c r="L3" s="407"/>
      <c r="M3" s="397" t="s">
        <v>44</v>
      </c>
      <c r="N3" s="403"/>
      <c r="O3" s="403" t="s">
        <v>45</v>
      </c>
      <c r="P3" s="398"/>
      <c r="Q3" s="397" t="s">
        <v>44</v>
      </c>
      <c r="R3" s="403"/>
      <c r="S3" s="403" t="s">
        <v>45</v>
      </c>
      <c r="T3" s="398"/>
      <c r="Y3" s="7" t="s">
        <v>81</v>
      </c>
      <c r="Z3" s="7" t="s">
        <v>61</v>
      </c>
      <c r="AA3" s="7" t="s">
        <v>80</v>
      </c>
    </row>
    <row r="4" spans="1:27" ht="26.25" customHeight="1" x14ac:dyDescent="0.25">
      <c r="A4" s="385"/>
      <c r="B4" s="387"/>
      <c r="C4" s="171" t="s">
        <v>46</v>
      </c>
      <c r="D4" s="22" t="s">
        <v>47</v>
      </c>
      <c r="E4" s="22" t="s">
        <v>46</v>
      </c>
      <c r="F4" s="22" t="s">
        <v>47</v>
      </c>
      <c r="G4" s="171" t="s">
        <v>46</v>
      </c>
      <c r="H4" s="22" t="s">
        <v>47</v>
      </c>
      <c r="I4" s="22" t="s">
        <v>46</v>
      </c>
      <c r="J4" s="22" t="s">
        <v>47</v>
      </c>
      <c r="K4" s="378"/>
      <c r="L4" s="408"/>
      <c r="M4" s="171" t="s">
        <v>46</v>
      </c>
      <c r="N4" s="22" t="s">
        <v>47</v>
      </c>
      <c r="O4" s="171" t="s">
        <v>46</v>
      </c>
      <c r="P4" s="22" t="s">
        <v>47</v>
      </c>
      <c r="Q4" s="171" t="s">
        <v>46</v>
      </c>
      <c r="R4" s="22" t="s">
        <v>47</v>
      </c>
      <c r="S4" s="22" t="s">
        <v>46</v>
      </c>
      <c r="T4" s="171" t="s">
        <v>47</v>
      </c>
    </row>
    <row r="5" spans="1:27" ht="6" customHeight="1" x14ac:dyDescent="0.25">
      <c r="A5" s="24"/>
      <c r="B5" s="25"/>
      <c r="C5" s="77"/>
      <c r="D5" s="77"/>
      <c r="E5" s="28"/>
      <c r="F5" s="27"/>
      <c r="G5" s="172"/>
      <c r="H5" s="27"/>
      <c r="I5" s="27"/>
      <c r="J5" s="77"/>
      <c r="K5" s="77"/>
      <c r="L5" s="27"/>
      <c r="M5" s="172"/>
      <c r="N5" s="27"/>
      <c r="O5" s="77"/>
      <c r="P5" s="28"/>
      <c r="Q5" s="172"/>
      <c r="R5" s="27"/>
      <c r="S5" s="77"/>
      <c r="T5" s="172"/>
    </row>
    <row r="6" spans="1:27" s="8" customFormat="1" ht="12" x14ac:dyDescent="0.25">
      <c r="A6" s="173" t="s">
        <v>1</v>
      </c>
      <c r="B6" s="119">
        <f>C6+E6+G6+I6+M6+O6+Q6+S6</f>
        <v>2353</v>
      </c>
      <c r="C6" s="115">
        <v>251</v>
      </c>
      <c r="D6" s="174">
        <f>C6/(E6+C6)</f>
        <v>0.39280125195618154</v>
      </c>
      <c r="E6" s="175">
        <v>388</v>
      </c>
      <c r="F6" s="176">
        <f>E6/(C6+E6)</f>
        <v>0.60719874804381846</v>
      </c>
      <c r="G6" s="115">
        <v>217</v>
      </c>
      <c r="H6" s="176">
        <f>G6/(I6+G6)</f>
        <v>0.42465753424657532</v>
      </c>
      <c r="I6" s="177">
        <v>294</v>
      </c>
      <c r="J6" s="174">
        <f>I6/(G6+I6)</f>
        <v>0.57534246575342463</v>
      </c>
      <c r="K6" s="178" t="str">
        <f>A6</f>
        <v>Altdorf</v>
      </c>
      <c r="L6" s="179">
        <f>B6</f>
        <v>2353</v>
      </c>
      <c r="M6" s="115">
        <v>457</v>
      </c>
      <c r="N6" s="176">
        <f>M6/(O6+M6)</f>
        <v>0.62774725274725274</v>
      </c>
      <c r="O6" s="115">
        <v>271</v>
      </c>
      <c r="P6" s="176">
        <f>O6/(M6+O6)</f>
        <v>0.37225274725274726</v>
      </c>
      <c r="Q6" s="181">
        <v>325</v>
      </c>
      <c r="R6" s="176">
        <f>Q6/(S6+Q6)</f>
        <v>0.68421052631578949</v>
      </c>
      <c r="S6" s="181">
        <v>150</v>
      </c>
      <c r="T6" s="174">
        <f>S6/(Q6+S6)</f>
        <v>0.31578947368421051</v>
      </c>
      <c r="Y6" s="12">
        <f>-B6+Z6-AA6</f>
        <v>0</v>
      </c>
      <c r="Z6" s="8">
        <v>2735</v>
      </c>
      <c r="AA6" s="8">
        <v>382</v>
      </c>
    </row>
    <row r="7" spans="1:27" s="8" customFormat="1" ht="12" x14ac:dyDescent="0.25">
      <c r="A7" s="173" t="s">
        <v>3</v>
      </c>
      <c r="B7" s="119">
        <f t="shared" ref="B7" si="0">C7+E7+G7+I7+M7+O7+Q7+S7</f>
        <v>1093</v>
      </c>
      <c r="C7" s="181">
        <v>168</v>
      </c>
      <c r="D7" s="174">
        <f t="shared" ref="D7:D11" si="1">C7/(E7+C7)</f>
        <v>0.50299401197604787</v>
      </c>
      <c r="E7" s="182">
        <v>166</v>
      </c>
      <c r="F7" s="176">
        <f t="shared" ref="F7:F11" si="2">E7/(C7+E7)</f>
        <v>0.49700598802395207</v>
      </c>
      <c r="G7" s="181">
        <v>106</v>
      </c>
      <c r="H7" s="176">
        <f t="shared" ref="H7:H9" si="3">G7/(I7+G7)</f>
        <v>0.64242424242424245</v>
      </c>
      <c r="I7" s="183">
        <v>59</v>
      </c>
      <c r="J7" s="174">
        <f t="shared" ref="J7:J9" si="4">I7/(G7+I7)</f>
        <v>0.3575757575757576</v>
      </c>
      <c r="K7" s="178" t="str">
        <f t="shared" ref="K7:L9" si="5">A7</f>
        <v>Bürglen</v>
      </c>
      <c r="L7" s="179">
        <f t="shared" si="5"/>
        <v>1093</v>
      </c>
      <c r="M7" s="181">
        <v>127</v>
      </c>
      <c r="N7" s="176">
        <f>M7/(O7+M7)</f>
        <v>0.59345794392523366</v>
      </c>
      <c r="O7" s="181">
        <v>87</v>
      </c>
      <c r="P7" s="176">
        <f>O7/(M7+O7)</f>
        <v>0.40654205607476634</v>
      </c>
      <c r="Q7" s="181">
        <v>247</v>
      </c>
      <c r="R7" s="176">
        <f t="shared" ref="R7:R9" si="6">Q7/(S7+Q7)</f>
        <v>0.65</v>
      </c>
      <c r="S7" s="181">
        <v>133</v>
      </c>
      <c r="T7" s="174">
        <f t="shared" ref="T7:T9" si="7">S7/(Q7+S7)</f>
        <v>0.35</v>
      </c>
      <c r="Y7" s="12">
        <f>-B7+Z7-AA7</f>
        <v>0</v>
      </c>
      <c r="Z7" s="8">
        <v>1297</v>
      </c>
      <c r="AA7" s="8">
        <v>204</v>
      </c>
    </row>
    <row r="8" spans="1:27" s="8" customFormat="1" ht="12" x14ac:dyDescent="0.25">
      <c r="A8" s="173" t="s">
        <v>4</v>
      </c>
      <c r="B8" s="119">
        <f>C8+E8+G8+I8+M8+O8+Q8+S8</f>
        <v>910</v>
      </c>
      <c r="C8" s="181">
        <v>142</v>
      </c>
      <c r="D8" s="174">
        <f t="shared" si="1"/>
        <v>0.4507936507936508</v>
      </c>
      <c r="E8" s="182">
        <v>173</v>
      </c>
      <c r="F8" s="176">
        <f t="shared" si="2"/>
        <v>0.54920634920634925</v>
      </c>
      <c r="G8" s="181">
        <v>63</v>
      </c>
      <c r="H8" s="176">
        <f t="shared" si="3"/>
        <v>0.59433962264150941</v>
      </c>
      <c r="I8" s="183">
        <v>43</v>
      </c>
      <c r="J8" s="174">
        <f t="shared" si="4"/>
        <v>0.40566037735849059</v>
      </c>
      <c r="K8" s="178" t="str">
        <f t="shared" si="5"/>
        <v>Erstfeld</v>
      </c>
      <c r="L8" s="179">
        <f t="shared" si="5"/>
        <v>910</v>
      </c>
      <c r="M8" s="181">
        <v>196</v>
      </c>
      <c r="N8" s="176">
        <f>M8/(O8+M8)</f>
        <v>0.73408239700374533</v>
      </c>
      <c r="O8" s="181">
        <v>71</v>
      </c>
      <c r="P8" s="176">
        <f>O8/(M8+O8)</f>
        <v>0.26591760299625467</v>
      </c>
      <c r="Q8" s="181">
        <v>142</v>
      </c>
      <c r="R8" s="176">
        <f t="shared" si="6"/>
        <v>0.63963963963963966</v>
      </c>
      <c r="S8" s="181">
        <v>80</v>
      </c>
      <c r="T8" s="174">
        <f t="shared" si="7"/>
        <v>0.36036036036036034</v>
      </c>
      <c r="Y8" s="12">
        <f>-B8+Z8-AA8</f>
        <v>0</v>
      </c>
      <c r="Z8" s="8">
        <v>1097</v>
      </c>
      <c r="AA8" s="8">
        <v>187</v>
      </c>
    </row>
    <row r="9" spans="1:27" s="8" customFormat="1" ht="12" x14ac:dyDescent="0.25">
      <c r="A9" s="173" t="s">
        <v>6</v>
      </c>
      <c r="B9" s="119">
        <f>C9+E9+G9+I9+M9+O9+Q9+S9</f>
        <v>1319</v>
      </c>
      <c r="C9" s="181">
        <v>217</v>
      </c>
      <c r="D9" s="174">
        <f t="shared" si="1"/>
        <v>0.48654708520179374</v>
      </c>
      <c r="E9" s="279">
        <v>229</v>
      </c>
      <c r="F9" s="176">
        <f t="shared" si="2"/>
        <v>0.51345291479820632</v>
      </c>
      <c r="G9" s="115">
        <v>126</v>
      </c>
      <c r="H9" s="176">
        <f t="shared" si="3"/>
        <v>0.47908745247148288</v>
      </c>
      <c r="I9" s="177">
        <v>137</v>
      </c>
      <c r="J9" s="174">
        <f t="shared" si="4"/>
        <v>0.52091254752851712</v>
      </c>
      <c r="K9" s="178" t="str">
        <f t="shared" si="5"/>
        <v>Schattdorf</v>
      </c>
      <c r="L9" s="179">
        <f t="shared" si="5"/>
        <v>1319</v>
      </c>
      <c r="M9" s="115">
        <v>151</v>
      </c>
      <c r="N9" s="176">
        <f>M9/(O9+M9)</f>
        <v>0.62396694214876036</v>
      </c>
      <c r="O9" s="115">
        <v>91</v>
      </c>
      <c r="P9" s="176">
        <f>O9/(M9+O9)</f>
        <v>0.37603305785123969</v>
      </c>
      <c r="Q9" s="115">
        <v>207</v>
      </c>
      <c r="R9" s="176">
        <f t="shared" si="6"/>
        <v>0.5625</v>
      </c>
      <c r="S9" s="115">
        <v>161</v>
      </c>
      <c r="T9" s="174">
        <f t="shared" si="7"/>
        <v>0.4375</v>
      </c>
      <c r="Y9" s="12">
        <f>-B9+Z9-AA9</f>
        <v>0</v>
      </c>
      <c r="Z9" s="8">
        <v>1572</v>
      </c>
      <c r="AA9" s="8">
        <v>253</v>
      </c>
    </row>
    <row r="10" spans="1:27" s="8" customFormat="1" ht="6" customHeight="1" x14ac:dyDescent="0.25">
      <c r="A10" s="173"/>
      <c r="B10" s="180"/>
      <c r="C10" s="181"/>
      <c r="D10" s="181"/>
      <c r="E10" s="182"/>
      <c r="F10" s="183"/>
      <c r="G10" s="181"/>
      <c r="H10" s="183"/>
      <c r="I10" s="183"/>
      <c r="J10" s="181"/>
      <c r="K10" s="184"/>
      <c r="L10" s="177"/>
      <c r="M10" s="181"/>
      <c r="N10" s="183"/>
      <c r="O10" s="181"/>
      <c r="P10" s="183"/>
      <c r="Q10" s="181"/>
      <c r="R10" s="183"/>
      <c r="S10" s="181"/>
      <c r="T10" s="181"/>
    </row>
    <row r="11" spans="1:27" s="9" customFormat="1" ht="20.149999999999999" customHeight="1" x14ac:dyDescent="0.25">
      <c r="A11" s="185" t="s">
        <v>9</v>
      </c>
      <c r="B11" s="186">
        <f>SUM(B6:B9)</f>
        <v>5675</v>
      </c>
      <c r="C11" s="187">
        <f>SUM(C6:C10)</f>
        <v>778</v>
      </c>
      <c r="D11" s="188">
        <f t="shared" si="1"/>
        <v>0.44867358708189159</v>
      </c>
      <c r="E11" s="189">
        <f>SUM(E6:E9)</f>
        <v>956</v>
      </c>
      <c r="F11" s="188">
        <f t="shared" si="2"/>
        <v>0.55132641291810847</v>
      </c>
      <c r="G11" s="187">
        <f>SUM(G6:G10)</f>
        <v>512</v>
      </c>
      <c r="H11" s="188">
        <f>G11/(I11+G11)</f>
        <v>0.48995215311004786</v>
      </c>
      <c r="I11" s="189">
        <f>SUM(I6:I9)</f>
        <v>533</v>
      </c>
      <c r="J11" s="188">
        <f>I11/(G11+I11)</f>
        <v>0.51004784688995219</v>
      </c>
      <c r="K11" s="190" t="str">
        <f>A11</f>
        <v>Total</v>
      </c>
      <c r="L11" s="191">
        <f>B11</f>
        <v>5675</v>
      </c>
      <c r="M11" s="187">
        <f>SUM(M6:M10)</f>
        <v>931</v>
      </c>
      <c r="N11" s="192">
        <f>M11/(O11+M11)</f>
        <v>0.64162646450723637</v>
      </c>
      <c r="O11" s="293">
        <f>SUM(O6:O9)</f>
        <v>520</v>
      </c>
      <c r="P11" s="188">
        <f>O11/(M11+O11)</f>
        <v>0.35837353549276363</v>
      </c>
      <c r="Q11" s="187">
        <f>SUM(Q6:Q10)</f>
        <v>921</v>
      </c>
      <c r="R11" s="192">
        <f>Q11/(S11+Q11)</f>
        <v>0.63737024221453287</v>
      </c>
      <c r="S11" s="193">
        <f>SUM(S6:S9)</f>
        <v>524</v>
      </c>
      <c r="T11" s="188">
        <f>S11/(Q11+S11)</f>
        <v>0.36262975778546713</v>
      </c>
    </row>
    <row r="12" spans="1:27" ht="13" x14ac:dyDescent="0.25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7" ht="13" x14ac:dyDescent="0.25">
      <c r="A13" s="5" t="s">
        <v>89</v>
      </c>
      <c r="B13" s="18"/>
      <c r="C13" s="19"/>
      <c r="D13" s="194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7" ht="13" x14ac:dyDescent="0.25">
      <c r="A14" s="384" t="s">
        <v>0</v>
      </c>
      <c r="B14" s="386" t="s">
        <v>9</v>
      </c>
      <c r="C14" s="382" t="s">
        <v>11</v>
      </c>
      <c r="D14" s="402"/>
      <c r="E14" s="402"/>
      <c r="F14" s="383"/>
      <c r="G14" s="382" t="s">
        <v>19</v>
      </c>
      <c r="H14" s="402"/>
      <c r="I14" s="402"/>
      <c r="J14" s="383"/>
      <c r="K14" s="377" t="s">
        <v>0</v>
      </c>
      <c r="L14" s="381" t="s">
        <v>9</v>
      </c>
      <c r="M14" s="382" t="s">
        <v>90</v>
      </c>
      <c r="N14" s="402"/>
      <c r="O14" s="402"/>
      <c r="P14" s="383"/>
      <c r="Q14" s="382" t="s">
        <v>20</v>
      </c>
      <c r="R14" s="402"/>
      <c r="S14" s="402"/>
      <c r="T14" s="383"/>
      <c r="U14" s="382" t="s">
        <v>21</v>
      </c>
      <c r="V14" s="402"/>
      <c r="W14" s="402"/>
      <c r="X14" s="383"/>
      <c r="Y14" s="2"/>
      <c r="Z14" s="2"/>
      <c r="AA14" s="2"/>
    </row>
    <row r="15" spans="1:27" ht="12.75" customHeight="1" x14ac:dyDescent="0.25">
      <c r="A15" s="404"/>
      <c r="B15" s="405"/>
      <c r="C15" s="397" t="s">
        <v>44</v>
      </c>
      <c r="D15" s="398"/>
      <c r="E15" s="403" t="s">
        <v>45</v>
      </c>
      <c r="F15" s="398"/>
      <c r="G15" s="397" t="s">
        <v>44</v>
      </c>
      <c r="H15" s="398"/>
      <c r="I15" s="403" t="s">
        <v>45</v>
      </c>
      <c r="J15" s="398"/>
      <c r="K15" s="406"/>
      <c r="L15" s="407"/>
      <c r="M15" s="397" t="s">
        <v>44</v>
      </c>
      <c r="N15" s="398"/>
      <c r="O15" s="403" t="s">
        <v>45</v>
      </c>
      <c r="P15" s="398"/>
      <c r="Q15" s="397" t="s">
        <v>44</v>
      </c>
      <c r="R15" s="398"/>
      <c r="S15" s="403" t="s">
        <v>45</v>
      </c>
      <c r="T15" s="398"/>
      <c r="U15" s="397" t="s">
        <v>44</v>
      </c>
      <c r="V15" s="398"/>
      <c r="W15" s="403" t="s">
        <v>45</v>
      </c>
      <c r="X15" s="398"/>
      <c r="Y15" s="290" t="s">
        <v>81</v>
      </c>
      <c r="Z15" s="290" t="s">
        <v>61</v>
      </c>
      <c r="AA15" s="290" t="s">
        <v>80</v>
      </c>
    </row>
    <row r="16" spans="1:27" x14ac:dyDescent="0.25">
      <c r="A16" s="385"/>
      <c r="B16" s="387"/>
      <c r="C16" s="171" t="s">
        <v>46</v>
      </c>
      <c r="D16" s="22" t="s">
        <v>47</v>
      </c>
      <c r="E16" s="22" t="s">
        <v>46</v>
      </c>
      <c r="F16" s="22" t="s">
        <v>47</v>
      </c>
      <c r="G16" s="171" t="s">
        <v>46</v>
      </c>
      <c r="H16" s="22" t="s">
        <v>47</v>
      </c>
      <c r="I16" s="22" t="s">
        <v>46</v>
      </c>
      <c r="J16" s="22" t="s">
        <v>47</v>
      </c>
      <c r="K16" s="378"/>
      <c r="L16" s="408"/>
      <c r="M16" s="171" t="s">
        <v>46</v>
      </c>
      <c r="N16" s="22" t="s">
        <v>47</v>
      </c>
      <c r="O16" s="22" t="s">
        <v>46</v>
      </c>
      <c r="P16" s="22" t="s">
        <v>47</v>
      </c>
      <c r="Q16" s="171" t="s">
        <v>46</v>
      </c>
      <c r="R16" s="22" t="s">
        <v>47</v>
      </c>
      <c r="S16" s="171" t="s">
        <v>46</v>
      </c>
      <c r="T16" s="22" t="s">
        <v>47</v>
      </c>
      <c r="U16" s="171" t="s">
        <v>46</v>
      </c>
      <c r="V16" s="22" t="s">
        <v>47</v>
      </c>
      <c r="W16" s="22" t="s">
        <v>46</v>
      </c>
      <c r="X16" s="171" t="s">
        <v>47</v>
      </c>
    </row>
    <row r="17" spans="1:27" ht="6" customHeight="1" x14ac:dyDescent="0.25">
      <c r="A17" s="24"/>
      <c r="B17" s="25"/>
      <c r="C17" s="77"/>
      <c r="D17" s="77"/>
      <c r="E17" s="28"/>
      <c r="F17" s="27"/>
      <c r="G17" s="172"/>
      <c r="H17" s="27"/>
      <c r="I17" s="27"/>
      <c r="J17" s="77"/>
      <c r="K17" s="77"/>
      <c r="L17" s="27"/>
      <c r="M17" s="172"/>
      <c r="N17" s="27"/>
      <c r="O17" s="27"/>
      <c r="P17" s="77"/>
      <c r="Q17" s="172"/>
      <c r="R17" s="27"/>
      <c r="S17" s="77"/>
      <c r="T17" s="28"/>
      <c r="U17" s="172"/>
      <c r="V17" s="27"/>
      <c r="W17" s="77"/>
      <c r="X17" s="172"/>
    </row>
    <row r="18" spans="1:27" x14ac:dyDescent="0.25">
      <c r="A18" s="173" t="s">
        <v>1</v>
      </c>
      <c r="B18" s="119">
        <f>C18+E18+G18+I18+M18+O18+Q18+S18+U18+W18</f>
        <v>3033</v>
      </c>
      <c r="C18" s="115">
        <v>403</v>
      </c>
      <c r="D18" s="174">
        <f>C18/(E18+C18)</f>
        <v>0.41718426501035194</v>
      </c>
      <c r="E18" s="175">
        <v>563</v>
      </c>
      <c r="F18" s="176">
        <f>E18/(C18+E18)</f>
        <v>0.582815734989648</v>
      </c>
      <c r="G18" s="115">
        <v>253</v>
      </c>
      <c r="H18" s="176">
        <f>G18/(I18+G18)</f>
        <v>0.52928870292887031</v>
      </c>
      <c r="I18" s="177">
        <v>225</v>
      </c>
      <c r="J18" s="174">
        <f>I18/(G18+I18)</f>
        <v>0.47071129707112969</v>
      </c>
      <c r="K18" s="178" t="str">
        <f>A18</f>
        <v>Altdorf</v>
      </c>
      <c r="L18" s="179">
        <f>B18</f>
        <v>3033</v>
      </c>
      <c r="M18" s="115">
        <v>157</v>
      </c>
      <c r="N18" s="176">
        <f>M18/(O18+M18)</f>
        <v>0.4197860962566845</v>
      </c>
      <c r="O18" s="177">
        <v>217</v>
      </c>
      <c r="P18" s="174">
        <f>O18/(M18+O18)</f>
        <v>0.5802139037433155</v>
      </c>
      <c r="Q18" s="115">
        <v>416</v>
      </c>
      <c r="R18" s="176">
        <f>Q18/(S18+Q18)</f>
        <v>0.62368815592203897</v>
      </c>
      <c r="S18" s="115">
        <v>251</v>
      </c>
      <c r="T18" s="176">
        <f>S18/(Q18+S18)</f>
        <v>0.37631184407796103</v>
      </c>
      <c r="U18" s="181">
        <v>376</v>
      </c>
      <c r="V18" s="176">
        <f>U18/(W18+U18)</f>
        <v>0.68613138686131392</v>
      </c>
      <c r="W18" s="181">
        <v>172</v>
      </c>
      <c r="X18" s="174">
        <f>W18/(U18+W18)</f>
        <v>0.31386861313868614</v>
      </c>
      <c r="Y18" s="12">
        <f>-B18+Z18-AA18</f>
        <v>0</v>
      </c>
      <c r="Z18" s="8">
        <v>3522</v>
      </c>
      <c r="AA18" s="8">
        <v>489</v>
      </c>
    </row>
    <row r="19" spans="1:27" x14ac:dyDescent="0.25">
      <c r="A19" s="173" t="s">
        <v>3</v>
      </c>
      <c r="B19" s="119">
        <f>C19+E19+G19+I19+M19+O19+Q19+S19+U19+W19</f>
        <v>1286</v>
      </c>
      <c r="C19" s="181">
        <v>134</v>
      </c>
      <c r="D19" s="174">
        <f t="shared" ref="D19:D21" si="8">C19/(E19+C19)</f>
        <v>0.40119760479041916</v>
      </c>
      <c r="E19" s="182">
        <v>200</v>
      </c>
      <c r="F19" s="176">
        <f t="shared" ref="F19:F21" si="9">E19/(C19+E19)</f>
        <v>0.59880239520958078</v>
      </c>
      <c r="G19" s="181">
        <v>69</v>
      </c>
      <c r="H19" s="176">
        <f t="shared" ref="H19:H21" si="10">G19/(I19+G19)</f>
        <v>0.44805194805194803</v>
      </c>
      <c r="I19" s="183">
        <v>85</v>
      </c>
      <c r="J19" s="174">
        <f t="shared" ref="J19:J21" si="11">I19/(G19+I19)</f>
        <v>0.55194805194805197</v>
      </c>
      <c r="K19" s="178" t="str">
        <f t="shared" ref="K19:K21" si="12">A19</f>
        <v>Bürglen</v>
      </c>
      <c r="L19" s="179">
        <f t="shared" ref="L19:L21" si="13">B19</f>
        <v>1286</v>
      </c>
      <c r="M19" s="181">
        <v>44</v>
      </c>
      <c r="N19" s="176">
        <f t="shared" ref="N19:N21" si="14">M19/(O19+M19)</f>
        <v>0.34375</v>
      </c>
      <c r="O19" s="183">
        <v>84</v>
      </c>
      <c r="P19" s="174">
        <f t="shared" ref="P19:P21" si="15">O19/(M19+O19)</f>
        <v>0.65625</v>
      </c>
      <c r="Q19" s="181">
        <v>118</v>
      </c>
      <c r="R19" s="176">
        <f>Q19/(S19+Q19)</f>
        <v>0.64480874316939896</v>
      </c>
      <c r="S19" s="181">
        <v>65</v>
      </c>
      <c r="T19" s="176">
        <f>S19/(Q19+S19)</f>
        <v>0.3551912568306011</v>
      </c>
      <c r="U19" s="181">
        <v>318</v>
      </c>
      <c r="V19" s="176">
        <f t="shared" ref="V19:V21" si="16">U19/(W19+U19)</f>
        <v>0.65297741273100618</v>
      </c>
      <c r="W19" s="181">
        <v>169</v>
      </c>
      <c r="X19" s="174">
        <f t="shared" ref="X19:X21" si="17">W19/(U19+W19)</f>
        <v>0.34702258726899382</v>
      </c>
      <c r="Y19" s="12">
        <f>-B19+Z19-AA19</f>
        <v>0</v>
      </c>
      <c r="Z19" s="8">
        <v>1589</v>
      </c>
      <c r="AA19" s="8">
        <v>303</v>
      </c>
    </row>
    <row r="20" spans="1:27" x14ac:dyDescent="0.25">
      <c r="A20" s="173" t="s">
        <v>4</v>
      </c>
      <c r="B20" s="119">
        <f t="shared" ref="B20:B21" si="18">C20+E20+G20+I20+M20+O20+Q20+S20+U20+W20</f>
        <v>1001</v>
      </c>
      <c r="C20" s="181">
        <v>118</v>
      </c>
      <c r="D20" s="174">
        <f t="shared" si="8"/>
        <v>0.47199999999999998</v>
      </c>
      <c r="E20" s="182">
        <v>132</v>
      </c>
      <c r="F20" s="176">
        <f t="shared" si="9"/>
        <v>0.52800000000000002</v>
      </c>
      <c r="G20" s="181">
        <v>97</v>
      </c>
      <c r="H20" s="176">
        <f t="shared" si="10"/>
        <v>0.57396449704142016</v>
      </c>
      <c r="I20" s="183">
        <v>72</v>
      </c>
      <c r="J20" s="174">
        <f t="shared" si="11"/>
        <v>0.42603550295857989</v>
      </c>
      <c r="K20" s="178" t="str">
        <f t="shared" si="12"/>
        <v>Erstfeld</v>
      </c>
      <c r="L20" s="179">
        <f t="shared" si="13"/>
        <v>1001</v>
      </c>
      <c r="M20" s="181">
        <v>0</v>
      </c>
      <c r="N20" s="176">
        <v>0</v>
      </c>
      <c r="O20" s="183">
        <v>0</v>
      </c>
      <c r="P20" s="174">
        <v>0</v>
      </c>
      <c r="Q20" s="181">
        <v>197</v>
      </c>
      <c r="R20" s="176">
        <f>Q20/(S20+Q20)</f>
        <v>0.69611307420494695</v>
      </c>
      <c r="S20" s="181">
        <v>86</v>
      </c>
      <c r="T20" s="176">
        <f>S20/(Q20+S20)</f>
        <v>0.303886925795053</v>
      </c>
      <c r="U20" s="181">
        <v>162</v>
      </c>
      <c r="V20" s="176">
        <f t="shared" si="16"/>
        <v>0.5418060200668896</v>
      </c>
      <c r="W20" s="181">
        <v>137</v>
      </c>
      <c r="X20" s="174">
        <f t="shared" si="17"/>
        <v>0.45819397993311034</v>
      </c>
      <c r="Y20" s="12">
        <f>-B20+Z20-AA20</f>
        <v>0</v>
      </c>
      <c r="Z20" s="8">
        <v>1295</v>
      </c>
      <c r="AA20" s="8">
        <v>294</v>
      </c>
    </row>
    <row r="21" spans="1:27" x14ac:dyDescent="0.25">
      <c r="A21" s="173" t="s">
        <v>6</v>
      </c>
      <c r="B21" s="119">
        <f t="shared" si="18"/>
        <v>1599</v>
      </c>
      <c r="C21" s="181">
        <v>226</v>
      </c>
      <c r="D21" s="174">
        <f t="shared" si="8"/>
        <v>0.36569579288025889</v>
      </c>
      <c r="E21" s="279">
        <v>392</v>
      </c>
      <c r="F21" s="176">
        <f t="shared" si="9"/>
        <v>0.63430420711974111</v>
      </c>
      <c r="G21" s="115">
        <v>103</v>
      </c>
      <c r="H21" s="176">
        <f t="shared" si="10"/>
        <v>0.39163498098859317</v>
      </c>
      <c r="I21" s="177">
        <v>160</v>
      </c>
      <c r="J21" s="174">
        <f t="shared" si="11"/>
        <v>0.60836501901140683</v>
      </c>
      <c r="K21" s="178" t="str">
        <f t="shared" si="12"/>
        <v>Schattdorf</v>
      </c>
      <c r="L21" s="179">
        <f t="shared" si="13"/>
        <v>1599</v>
      </c>
      <c r="M21" s="115">
        <v>31</v>
      </c>
      <c r="N21" s="176">
        <f t="shared" si="14"/>
        <v>0.34444444444444444</v>
      </c>
      <c r="O21" s="177">
        <v>59</v>
      </c>
      <c r="P21" s="174">
        <f t="shared" si="15"/>
        <v>0.65555555555555556</v>
      </c>
      <c r="Q21" s="115">
        <v>125</v>
      </c>
      <c r="R21" s="176">
        <f>Q21/(S21+Q21)</f>
        <v>0.62814070351758799</v>
      </c>
      <c r="S21" s="115">
        <v>74</v>
      </c>
      <c r="T21" s="176">
        <f>S21/(Q21+S21)</f>
        <v>0.37185929648241206</v>
      </c>
      <c r="U21" s="115">
        <v>246</v>
      </c>
      <c r="V21" s="176">
        <f t="shared" si="16"/>
        <v>0.57342657342657344</v>
      </c>
      <c r="W21" s="115">
        <v>183</v>
      </c>
      <c r="X21" s="174">
        <f t="shared" si="17"/>
        <v>0.42657342657342656</v>
      </c>
      <c r="Y21" s="12">
        <f>-B21+Z21-AA21</f>
        <v>0</v>
      </c>
      <c r="Z21" s="8">
        <v>2009</v>
      </c>
      <c r="AA21" s="8">
        <v>410</v>
      </c>
    </row>
    <row r="22" spans="1:27" ht="6" customHeight="1" x14ac:dyDescent="0.25">
      <c r="A22" s="173"/>
      <c r="B22" s="180"/>
      <c r="C22" s="181"/>
      <c r="D22" s="181"/>
      <c r="E22" s="182"/>
      <c r="F22" s="183"/>
      <c r="G22" s="181"/>
      <c r="H22" s="183"/>
      <c r="I22" s="183"/>
      <c r="J22" s="181"/>
      <c r="K22" s="184"/>
      <c r="L22" s="177"/>
      <c r="M22" s="181"/>
      <c r="N22" s="183"/>
      <c r="O22" s="183"/>
      <c r="P22" s="181"/>
      <c r="Q22" s="181"/>
      <c r="R22" s="183"/>
      <c r="S22" s="181"/>
      <c r="T22" s="183"/>
      <c r="U22" s="181"/>
      <c r="V22" s="183"/>
      <c r="W22" s="181"/>
      <c r="X22" s="181"/>
      <c r="Y22" s="8"/>
      <c r="Z22" s="8"/>
      <c r="AA22" s="8"/>
    </row>
    <row r="23" spans="1:27" ht="18.75" customHeight="1" x14ac:dyDescent="0.25">
      <c r="A23" s="185" t="s">
        <v>9</v>
      </c>
      <c r="B23" s="186">
        <f>SUM(B18:B21)</f>
        <v>6919</v>
      </c>
      <c r="C23" s="187">
        <f>SUM(C18:C22)</f>
        <v>881</v>
      </c>
      <c r="D23" s="188">
        <f t="shared" ref="D23" si="19">C23/(E23+C23)</f>
        <v>0.40636531365313655</v>
      </c>
      <c r="E23" s="189">
        <f>SUM(E18:E21)</f>
        <v>1287</v>
      </c>
      <c r="F23" s="188">
        <f t="shared" ref="F23" si="20">E23/(C23+E23)</f>
        <v>0.59363468634686345</v>
      </c>
      <c r="G23" s="187">
        <f>SUM(G18:G22)</f>
        <v>522</v>
      </c>
      <c r="H23" s="188">
        <f>G23/(I23+G23)</f>
        <v>0.49060150375939848</v>
      </c>
      <c r="I23" s="189">
        <f>SUM(I18:I21)</f>
        <v>542</v>
      </c>
      <c r="J23" s="188">
        <f>I23/(G23+I23)</f>
        <v>0.50939849624060152</v>
      </c>
      <c r="K23" s="190" t="str">
        <f>A23</f>
        <v>Total</v>
      </c>
      <c r="L23" s="191">
        <f>B23</f>
        <v>6919</v>
      </c>
      <c r="M23" s="187">
        <f>SUM(M18:M22)</f>
        <v>232</v>
      </c>
      <c r="N23" s="291">
        <f>M23/(O23+M23)</f>
        <v>0.39189189189189189</v>
      </c>
      <c r="O23" s="292">
        <f>SUM(O18:O21)</f>
        <v>360</v>
      </c>
      <c r="P23" s="188">
        <f>O23/(M23+O23)</f>
        <v>0.60810810810810811</v>
      </c>
      <c r="Q23" s="187">
        <f>SUM(Q18:Q22)</f>
        <v>856</v>
      </c>
      <c r="R23" s="192">
        <f>Q23/(S23+Q23)</f>
        <v>0.64264264264264259</v>
      </c>
      <c r="S23" s="193">
        <f>SUM(S18:S21)</f>
        <v>476</v>
      </c>
      <c r="T23" s="188">
        <f>S23/(Q23+S23)</f>
        <v>0.35735735735735735</v>
      </c>
      <c r="U23" s="187">
        <f>SUM(U18:U22)</f>
        <v>1102</v>
      </c>
      <c r="V23" s="192">
        <f>U23/(W23+U23)</f>
        <v>0.62507090187180947</v>
      </c>
      <c r="W23" s="193">
        <f>SUM(W18:W21)</f>
        <v>661</v>
      </c>
      <c r="X23" s="188">
        <f>W23/(U23+W23)</f>
        <v>0.37492909812819059</v>
      </c>
      <c r="Y23" s="9"/>
      <c r="Z23" s="9"/>
      <c r="AA23" s="9"/>
    </row>
    <row r="24" spans="1:27" ht="13" x14ac:dyDescent="0.25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7" ht="13" x14ac:dyDescent="0.25">
      <c r="B25" s="18"/>
      <c r="C25" s="19"/>
      <c r="D25" s="19"/>
      <c r="E25" s="19"/>
      <c r="F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7" ht="13" x14ac:dyDescent="0.25">
      <c r="A26" s="194"/>
      <c r="B26" s="18"/>
      <c r="C26" s="19"/>
      <c r="D26" s="19"/>
      <c r="E26" s="19"/>
      <c r="F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8" spans="1:27" x14ac:dyDescent="0.25">
      <c r="I28" s="294"/>
      <c r="Y28" s="11">
        <f>C18+G18+M18+Q18+U18</f>
        <v>1605</v>
      </c>
    </row>
    <row r="29" spans="1:27" x14ac:dyDescent="0.25">
      <c r="Y29" s="11">
        <f>E18+I18+O18+S18+W18</f>
        <v>1428</v>
      </c>
    </row>
  </sheetData>
  <mergeCells count="35">
    <mergeCell ref="A2:A4"/>
    <mergeCell ref="B2:B4"/>
    <mergeCell ref="C2:F2"/>
    <mergeCell ref="C3:D3"/>
    <mergeCell ref="E3:F3"/>
    <mergeCell ref="G3:H3"/>
    <mergeCell ref="I3:J3"/>
    <mergeCell ref="M2:P2"/>
    <mergeCell ref="M3:N3"/>
    <mergeCell ref="O3:P3"/>
    <mergeCell ref="G2:J2"/>
    <mergeCell ref="K2:K4"/>
    <mergeCell ref="L2:L4"/>
    <mergeCell ref="Q2:T2"/>
    <mergeCell ref="Q3:R3"/>
    <mergeCell ref="S3:T3"/>
    <mergeCell ref="Q15:R15"/>
    <mergeCell ref="M15:N15"/>
    <mergeCell ref="O15:P15"/>
    <mergeCell ref="U14:X14"/>
    <mergeCell ref="U15:V15"/>
    <mergeCell ref="W15:X15"/>
    <mergeCell ref="A14:A16"/>
    <mergeCell ref="B14:B16"/>
    <mergeCell ref="C14:F14"/>
    <mergeCell ref="G14:J14"/>
    <mergeCell ref="K14:K16"/>
    <mergeCell ref="C15:D15"/>
    <mergeCell ref="E15:F15"/>
    <mergeCell ref="G15:H15"/>
    <mergeCell ref="I15:J15"/>
    <mergeCell ref="L14:L16"/>
    <mergeCell ref="Q14:T14"/>
    <mergeCell ref="S15:T15"/>
    <mergeCell ref="M14:P14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2:J7"/>
  <sheetViews>
    <sheetView showGridLines="0" workbookViewId="0">
      <selection activeCell="M55" sqref="M55"/>
    </sheetView>
  </sheetViews>
  <sheetFormatPr defaultColWidth="10.90625" defaultRowHeight="12.5" x14ac:dyDescent="0.25"/>
  <cols>
    <col min="1" max="10" width="7" customWidth="1"/>
  </cols>
  <sheetData>
    <row r="2" spans="1:10" s="3" customFormat="1" ht="21" customHeight="1" x14ac:dyDescent="0.25">
      <c r="A2" s="90" t="s">
        <v>48</v>
      </c>
      <c r="B2" s="90">
        <v>1992</v>
      </c>
      <c r="C2" s="90">
        <v>1996</v>
      </c>
      <c r="D2" s="90">
        <v>2000</v>
      </c>
      <c r="E2" s="90">
        <v>2004</v>
      </c>
      <c r="F2" s="90">
        <v>2008</v>
      </c>
      <c r="G2" s="90">
        <v>2012</v>
      </c>
      <c r="H2" s="90">
        <v>2016</v>
      </c>
      <c r="I2" s="90">
        <v>2020</v>
      </c>
      <c r="J2" s="195">
        <v>2024</v>
      </c>
    </row>
    <row r="3" spans="1:10" s="1" customFormat="1" ht="21" customHeight="1" x14ac:dyDescent="0.25">
      <c r="A3" s="196" t="s">
        <v>18</v>
      </c>
      <c r="B3" s="197">
        <v>19.8</v>
      </c>
      <c r="C3" s="197">
        <v>32</v>
      </c>
      <c r="D3" s="197">
        <v>38.799999999999997</v>
      </c>
      <c r="E3" s="197">
        <v>41.4</v>
      </c>
      <c r="F3" s="197">
        <v>46.4</v>
      </c>
      <c r="G3" s="197">
        <v>32.9</v>
      </c>
      <c r="H3" s="197">
        <v>41.7</v>
      </c>
      <c r="I3" s="197">
        <f>'6 Gültige WZ'!$D$11*100</f>
        <v>44.867358708189158</v>
      </c>
      <c r="J3" s="198">
        <f>'6 Gültige WZ'!$D$23*100</f>
        <v>40.636531365313658</v>
      </c>
    </row>
    <row r="4" spans="1:10" s="1" customFormat="1" ht="21" customHeight="1" x14ac:dyDescent="0.25">
      <c r="A4" s="196" t="s">
        <v>19</v>
      </c>
      <c r="B4" s="197">
        <v>18</v>
      </c>
      <c r="C4" s="197">
        <v>30.7</v>
      </c>
      <c r="D4" s="197">
        <v>37.6</v>
      </c>
      <c r="E4" s="197">
        <v>38.299999999999997</v>
      </c>
      <c r="F4" s="197">
        <v>52.5</v>
      </c>
      <c r="G4" s="197">
        <v>49.8</v>
      </c>
      <c r="H4" s="197">
        <v>51.1</v>
      </c>
      <c r="I4" s="197">
        <f>'6 Gültige WZ'!$H$11*100</f>
        <v>48.995215311004785</v>
      </c>
      <c r="J4" s="198">
        <f>'6 Gültige WZ'!$H$23*100</f>
        <v>49.060150375939848</v>
      </c>
    </row>
    <row r="5" spans="1:10" s="1" customFormat="1" ht="21" customHeight="1" x14ac:dyDescent="0.25">
      <c r="A5" s="196" t="s">
        <v>90</v>
      </c>
      <c r="B5" s="197"/>
      <c r="C5" s="197"/>
      <c r="D5" s="197"/>
      <c r="E5" s="197"/>
      <c r="F5" s="197"/>
      <c r="G5" s="197"/>
      <c r="H5" s="197"/>
      <c r="I5" s="197"/>
      <c r="J5" s="198">
        <f>'6 Gültige WZ'!$N$23*100</f>
        <v>39.189189189189186</v>
      </c>
    </row>
    <row r="6" spans="1:10" s="1" customFormat="1" ht="21" customHeight="1" x14ac:dyDescent="0.25">
      <c r="A6" s="196" t="s">
        <v>49</v>
      </c>
      <c r="B6" s="197">
        <v>27</v>
      </c>
      <c r="C6" s="197">
        <v>37.799999999999997</v>
      </c>
      <c r="D6" s="197">
        <v>41.8</v>
      </c>
      <c r="E6" s="197">
        <v>47</v>
      </c>
      <c r="F6" s="197">
        <v>61.8</v>
      </c>
      <c r="G6" s="197">
        <v>51.3</v>
      </c>
      <c r="H6" s="197">
        <v>63</v>
      </c>
      <c r="I6" s="197">
        <f>'6 Gültige WZ'!$N$11*100</f>
        <v>64.162646450723642</v>
      </c>
      <c r="J6" s="198">
        <f>'6 Gültige WZ'!$R$23*100</f>
        <v>64.264264264264256</v>
      </c>
    </row>
    <row r="7" spans="1:10" ht="21" customHeight="1" x14ac:dyDescent="0.25">
      <c r="A7" s="196" t="s">
        <v>21</v>
      </c>
      <c r="B7" s="197"/>
      <c r="C7" s="197"/>
      <c r="D7" s="197">
        <v>37.299999999999997</v>
      </c>
      <c r="E7" s="197">
        <v>42.1</v>
      </c>
      <c r="F7" s="197">
        <v>64.900000000000006</v>
      </c>
      <c r="G7" s="197">
        <v>58.1</v>
      </c>
      <c r="H7" s="197">
        <v>64.8</v>
      </c>
      <c r="I7" s="197">
        <f>'6 Gültige WZ'!$R$11*100</f>
        <v>63.737024221453289</v>
      </c>
      <c r="J7" s="198">
        <f>'6 Gültige WZ'!$V$23*100</f>
        <v>62.50709018718095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tabColor rgb="FFFF9999"/>
  </sheetPr>
  <dimension ref="A1:U24"/>
  <sheetViews>
    <sheetView showGridLines="0" zoomScale="90" zoomScaleNormal="90" zoomScaleSheetLayoutView="90" workbookViewId="0">
      <selection activeCell="N6" sqref="N6"/>
    </sheetView>
  </sheetViews>
  <sheetFormatPr defaultColWidth="10.90625" defaultRowHeight="12.5" x14ac:dyDescent="0.25"/>
  <cols>
    <col min="1" max="1" width="15.90625" style="5" customWidth="1"/>
    <col min="2" max="2" width="11.453125" style="1"/>
    <col min="3" max="3" width="5.54296875" style="4" customWidth="1"/>
    <col min="4" max="4" width="8.36328125" style="4" bestFit="1" customWidth="1"/>
    <col min="5" max="5" width="5.54296875" style="4" customWidth="1"/>
    <col min="6" max="6" width="6.54296875" style="4" bestFit="1" customWidth="1"/>
    <col min="7" max="7" width="5.54296875" style="4" customWidth="1"/>
    <col min="8" max="8" width="6.54296875" style="4" bestFit="1" customWidth="1"/>
    <col min="12" max="12" width="13.6328125" customWidth="1"/>
    <col min="14" max="14" width="7.453125" customWidth="1"/>
    <col min="15" max="15" width="8.36328125" customWidth="1"/>
    <col min="16" max="16" width="7.453125" customWidth="1"/>
    <col min="17" max="17" width="8.36328125" customWidth="1"/>
    <col min="18" max="18" width="7.453125" customWidth="1"/>
    <col min="19" max="19" width="8.36328125" customWidth="1"/>
  </cols>
  <sheetData>
    <row r="1" spans="1:21" x14ac:dyDescent="0.25">
      <c r="A1" s="5" t="s">
        <v>91</v>
      </c>
      <c r="L1" s="5" t="s">
        <v>92</v>
      </c>
      <c r="M1" s="1"/>
      <c r="N1" s="4"/>
      <c r="O1" s="4"/>
      <c r="P1" s="4"/>
      <c r="Q1" s="4"/>
      <c r="R1" s="4"/>
      <c r="S1" s="4"/>
    </row>
    <row r="2" spans="1:21" s="2" customFormat="1" ht="40.5" customHeight="1" x14ac:dyDescent="0.25">
      <c r="A2" s="384" t="s">
        <v>0</v>
      </c>
      <c r="B2" s="377" t="s">
        <v>51</v>
      </c>
      <c r="C2" s="382" t="s">
        <v>50</v>
      </c>
      <c r="D2" s="402"/>
      <c r="E2" s="402"/>
      <c r="F2" s="383"/>
      <c r="G2" s="409" t="s">
        <v>52</v>
      </c>
      <c r="H2" s="409"/>
      <c r="L2" s="384" t="s">
        <v>0</v>
      </c>
      <c r="M2" s="377" t="s">
        <v>51</v>
      </c>
      <c r="N2" s="382" t="s">
        <v>50</v>
      </c>
      <c r="O2" s="402"/>
      <c r="P2" s="402"/>
      <c r="Q2" s="383"/>
      <c r="R2" s="409" t="s">
        <v>52</v>
      </c>
      <c r="S2" s="409"/>
    </row>
    <row r="3" spans="1:21" s="7" customFormat="1" ht="27" customHeight="1" x14ac:dyDescent="0.25">
      <c r="A3" s="404"/>
      <c r="B3" s="406"/>
      <c r="C3" s="382" t="s">
        <v>44</v>
      </c>
      <c r="D3" s="402"/>
      <c r="E3" s="382" t="s">
        <v>45</v>
      </c>
      <c r="F3" s="383"/>
      <c r="G3" s="409"/>
      <c r="H3" s="409"/>
      <c r="L3" s="404"/>
      <c r="M3" s="406"/>
      <c r="N3" s="382" t="s">
        <v>44</v>
      </c>
      <c r="O3" s="402"/>
      <c r="P3" s="382" t="s">
        <v>45</v>
      </c>
      <c r="Q3" s="383"/>
      <c r="R3" s="409"/>
      <c r="S3" s="409"/>
    </row>
    <row r="4" spans="1:21" ht="26.25" customHeight="1" x14ac:dyDescent="0.25">
      <c r="A4" s="385"/>
      <c r="B4" s="378"/>
      <c r="C4" s="199" t="s">
        <v>46</v>
      </c>
      <c r="D4" s="199" t="s">
        <v>47</v>
      </c>
      <c r="E4" s="199" t="s">
        <v>46</v>
      </c>
      <c r="F4" s="199" t="s">
        <v>47</v>
      </c>
      <c r="G4" s="199" t="s">
        <v>46</v>
      </c>
      <c r="H4" s="199" t="s">
        <v>47</v>
      </c>
      <c r="L4" s="385"/>
      <c r="M4" s="378"/>
      <c r="N4" s="199" t="s">
        <v>46</v>
      </c>
      <c r="O4" s="199" t="s">
        <v>47</v>
      </c>
      <c r="P4" s="199" t="s">
        <v>46</v>
      </c>
      <c r="Q4" s="199" t="s">
        <v>47</v>
      </c>
      <c r="R4" s="199" t="s">
        <v>46</v>
      </c>
      <c r="S4" s="199" t="s">
        <v>47</v>
      </c>
    </row>
    <row r="5" spans="1:21" ht="6" customHeight="1" x14ac:dyDescent="0.25">
      <c r="A5" s="24"/>
      <c r="B5" s="25"/>
      <c r="C5" s="200"/>
      <c r="D5" s="200"/>
      <c r="E5" s="200"/>
      <c r="F5" s="200"/>
      <c r="G5" s="200"/>
      <c r="H5" s="200"/>
      <c r="L5" s="24"/>
      <c r="M5" s="25"/>
      <c r="N5" s="200"/>
      <c r="O5" s="200"/>
      <c r="P5" s="200"/>
      <c r="Q5" s="200"/>
      <c r="R5" s="200"/>
      <c r="S5" s="200"/>
    </row>
    <row r="6" spans="1:21" s="8" customFormat="1" ht="20.149999999999999" customHeight="1" x14ac:dyDescent="0.25">
      <c r="A6" s="31" t="s">
        <v>1</v>
      </c>
      <c r="B6" s="106">
        <f>'6 Gültige WZ'!Z6-'6 Gültige WZ'!Y6</f>
        <v>2735</v>
      </c>
      <c r="C6" s="102">
        <f>'6 Gültige WZ'!C6+'6 Gültige WZ'!G6+'6 Gültige WZ'!M6+'6 Gültige WZ'!Q6</f>
        <v>1250</v>
      </c>
      <c r="D6" s="201">
        <f>C6/$B6</f>
        <v>0.45703839122486289</v>
      </c>
      <c r="E6" s="102">
        <v>1103</v>
      </c>
      <c r="F6" s="201">
        <f>E6/$B6</f>
        <v>0.40329067641681904</v>
      </c>
      <c r="G6" s="200">
        <v>382</v>
      </c>
      <c r="H6" s="201">
        <f>G6/$B6</f>
        <v>0.1396709323583181</v>
      </c>
      <c r="J6" s="12">
        <f>E6+G6</f>
        <v>1485</v>
      </c>
      <c r="K6" s="12"/>
      <c r="L6" s="31" t="s">
        <v>1</v>
      </c>
      <c r="M6" s="106">
        <f>'6 Gültige WZ'!Z18-'6 Gültige WZ'!Y18</f>
        <v>3522</v>
      </c>
      <c r="N6" s="102">
        <f>'6 Gültige WZ'!C18+'6 Gültige WZ'!G18+'6 Gültige WZ'!M18+'6 Gültige WZ'!Q18+'6 Gültige WZ'!U18</f>
        <v>1605</v>
      </c>
      <c r="O6" s="201">
        <f>N6/$M6</f>
        <v>0.45570698466780241</v>
      </c>
      <c r="P6" s="102">
        <f>'6 Gültige WZ'!E18+'6 Gültige WZ'!I18+'6 Gültige WZ'!O18+'6 Gültige WZ'!S18+'6 Gültige WZ'!W18</f>
        <v>1428</v>
      </c>
      <c r="Q6" s="201">
        <f>P6/$M6</f>
        <v>0.40545144804088584</v>
      </c>
      <c r="R6" s="200">
        <f>'6 Gültige WZ'!AA18</f>
        <v>489</v>
      </c>
      <c r="S6" s="201">
        <f>R6/$M6</f>
        <v>0.13884156729131175</v>
      </c>
      <c r="U6" s="12">
        <f>P6+R6</f>
        <v>1917</v>
      </c>
    </row>
    <row r="7" spans="1:21" s="8" customFormat="1" ht="20.149999999999999" customHeight="1" x14ac:dyDescent="0.25">
      <c r="A7" s="31" t="s">
        <v>3</v>
      </c>
      <c r="B7" s="106">
        <f>'6 Gültige WZ'!Z7-'6 Gültige WZ'!Y7</f>
        <v>1297</v>
      </c>
      <c r="C7" s="102">
        <f>'6 Gültige WZ'!C7+'6 Gültige WZ'!G7+'6 Gültige WZ'!M7+'6 Gültige WZ'!Q7</f>
        <v>648</v>
      </c>
      <c r="D7" s="201">
        <f t="shared" ref="D7:F9" si="0">C7/$B7</f>
        <v>0.49961449498843485</v>
      </c>
      <c r="E7" s="102">
        <v>445</v>
      </c>
      <c r="F7" s="201">
        <f t="shared" si="0"/>
        <v>0.34309946029298383</v>
      </c>
      <c r="G7" s="200">
        <v>204</v>
      </c>
      <c r="H7" s="201">
        <f t="shared" ref="H7:H8" si="1">G7/$B7</f>
        <v>0.15728604471858135</v>
      </c>
      <c r="J7" s="12">
        <f t="shared" ref="J7:J11" si="2">E7+G7</f>
        <v>649</v>
      </c>
      <c r="K7" s="12"/>
      <c r="L7" s="31" t="s">
        <v>3</v>
      </c>
      <c r="M7" s="106">
        <f>'6 Gültige WZ'!Z19-'6 Gültige WZ'!Y19</f>
        <v>1589</v>
      </c>
      <c r="N7" s="102">
        <f>'6 Gültige WZ'!C19+'6 Gültige WZ'!G19+'6 Gültige WZ'!M19+'6 Gültige WZ'!Q19+'6 Gültige WZ'!U19</f>
        <v>683</v>
      </c>
      <c r="O7" s="201">
        <f>N7/$M7</f>
        <v>0.42983008181246068</v>
      </c>
      <c r="P7" s="102">
        <f>'6 Gültige WZ'!E19+'6 Gültige WZ'!I19+'6 Gültige WZ'!O19+'6 Gültige WZ'!S19+'6 Gültige WZ'!W19</f>
        <v>603</v>
      </c>
      <c r="Q7" s="201">
        <f t="shared" ref="Q7:Q9" si="3">P7/$M7</f>
        <v>0.37948395217117686</v>
      </c>
      <c r="R7" s="200">
        <f>'6 Gültige WZ'!AA19</f>
        <v>303</v>
      </c>
      <c r="S7" s="201">
        <f>R7/$M7</f>
        <v>0.19068596601636248</v>
      </c>
      <c r="U7" s="12">
        <f t="shared" ref="U7:U11" si="4">P7+R7</f>
        <v>906</v>
      </c>
    </row>
    <row r="8" spans="1:21" s="8" customFormat="1" ht="20.149999999999999" customHeight="1" x14ac:dyDescent="0.25">
      <c r="A8" s="31" t="s">
        <v>4</v>
      </c>
      <c r="B8" s="106">
        <f>'6 Gültige WZ'!Z8-'6 Gültige WZ'!Y8</f>
        <v>1097</v>
      </c>
      <c r="C8" s="102">
        <f>'6 Gültige WZ'!C8+'6 Gültige WZ'!G8+'6 Gültige WZ'!M8+'6 Gültige WZ'!Q8</f>
        <v>543</v>
      </c>
      <c r="D8" s="201">
        <f t="shared" si="0"/>
        <v>0.49498632634457612</v>
      </c>
      <c r="E8" s="102">
        <v>367</v>
      </c>
      <c r="F8" s="201">
        <f t="shared" si="0"/>
        <v>0.33454876937101186</v>
      </c>
      <c r="G8" s="200">
        <v>187</v>
      </c>
      <c r="H8" s="201">
        <f t="shared" si="1"/>
        <v>0.17046490428441202</v>
      </c>
      <c r="J8" s="12">
        <f t="shared" si="2"/>
        <v>554</v>
      </c>
      <c r="K8" s="12"/>
      <c r="L8" s="31" t="s">
        <v>4</v>
      </c>
      <c r="M8" s="106">
        <f>'6 Gültige WZ'!Z20-'6 Gültige WZ'!Y20</f>
        <v>1295</v>
      </c>
      <c r="N8" s="102">
        <f>'6 Gültige WZ'!C20+'6 Gültige WZ'!G20+'6 Gültige WZ'!M20+'6 Gültige WZ'!Q20+'6 Gültige WZ'!U20</f>
        <v>574</v>
      </c>
      <c r="O8" s="201">
        <f t="shared" ref="O8:O9" si="5">N8/$M8</f>
        <v>0.44324324324324327</v>
      </c>
      <c r="P8" s="102">
        <f>'6 Gültige WZ'!E20+'6 Gültige WZ'!I20+'6 Gültige WZ'!O20+'6 Gültige WZ'!S20+'6 Gültige WZ'!W20</f>
        <v>427</v>
      </c>
      <c r="Q8" s="201">
        <f t="shared" si="3"/>
        <v>0.32972972972972975</v>
      </c>
      <c r="R8" s="200">
        <f>'6 Gültige WZ'!AA20</f>
        <v>294</v>
      </c>
      <c r="S8" s="201">
        <f>R8/$M8</f>
        <v>0.22702702702702704</v>
      </c>
      <c r="U8" s="12">
        <f t="shared" si="4"/>
        <v>721</v>
      </c>
    </row>
    <row r="9" spans="1:21" s="8" customFormat="1" ht="20.149999999999999" customHeight="1" x14ac:dyDescent="0.25">
      <c r="A9" s="31" t="s">
        <v>6</v>
      </c>
      <c r="B9" s="106">
        <f>'6 Gültige WZ'!Z9-'6 Gültige WZ'!Y9</f>
        <v>1572</v>
      </c>
      <c r="C9" s="102">
        <f>'6 Gültige WZ'!C9+'6 Gültige WZ'!G9+'6 Gültige WZ'!M9+'6 Gültige WZ'!Q9</f>
        <v>701</v>
      </c>
      <c r="D9" s="201">
        <f t="shared" si="0"/>
        <v>0.44592875318066155</v>
      </c>
      <c r="E9" s="102">
        <v>618</v>
      </c>
      <c r="F9" s="201">
        <f t="shared" si="0"/>
        <v>0.3931297709923664</v>
      </c>
      <c r="G9" s="200">
        <v>253</v>
      </c>
      <c r="H9" s="201">
        <f>G9/$B9</f>
        <v>0.16094147582697202</v>
      </c>
      <c r="J9" s="12">
        <f t="shared" si="2"/>
        <v>871</v>
      </c>
      <c r="K9" s="12"/>
      <c r="L9" s="31" t="s">
        <v>6</v>
      </c>
      <c r="M9" s="106">
        <f>'6 Gültige WZ'!Z21-'6 Gültige WZ'!Y21</f>
        <v>2009</v>
      </c>
      <c r="N9" s="102">
        <f>'6 Gültige WZ'!C21+'6 Gültige WZ'!G21+'6 Gültige WZ'!M21+'6 Gültige WZ'!Q21+'6 Gültige WZ'!U21</f>
        <v>731</v>
      </c>
      <c r="O9" s="201">
        <f t="shared" si="5"/>
        <v>0.36386261821801891</v>
      </c>
      <c r="P9" s="102">
        <f>'6 Gültige WZ'!E21+'6 Gültige WZ'!I21+'6 Gültige WZ'!O21+'6 Gültige WZ'!S21+'6 Gültige WZ'!W21</f>
        <v>868</v>
      </c>
      <c r="Q9" s="201">
        <f t="shared" si="3"/>
        <v>0.43205574912891986</v>
      </c>
      <c r="R9" s="200">
        <f>'6 Gültige WZ'!AA21</f>
        <v>410</v>
      </c>
      <c r="S9" s="201">
        <f>R9/$M9</f>
        <v>0.20408163265306123</v>
      </c>
      <c r="U9" s="12">
        <f t="shared" si="4"/>
        <v>1278</v>
      </c>
    </row>
    <row r="10" spans="1:21" s="8" customFormat="1" ht="6" customHeight="1" x14ac:dyDescent="0.25">
      <c r="A10" s="31"/>
      <c r="B10" s="30"/>
      <c r="C10" s="200"/>
      <c r="D10" s="200"/>
      <c r="E10" s="200"/>
      <c r="F10" s="200"/>
      <c r="G10" s="200"/>
      <c r="H10" s="200"/>
      <c r="J10" s="12">
        <f t="shared" si="2"/>
        <v>0</v>
      </c>
      <c r="L10" s="31"/>
      <c r="M10" s="30"/>
      <c r="N10" s="200"/>
      <c r="O10" s="200"/>
      <c r="P10" s="200"/>
      <c r="Q10" s="200"/>
      <c r="R10" s="200"/>
      <c r="S10" s="200"/>
      <c r="U10" s="12">
        <f t="shared" si="4"/>
        <v>0</v>
      </c>
    </row>
    <row r="11" spans="1:21" s="9" customFormat="1" ht="20.149999999999999" customHeight="1" x14ac:dyDescent="0.25">
      <c r="A11" s="202" t="s">
        <v>9</v>
      </c>
      <c r="B11" s="203">
        <f>SUM(B6:B9)</f>
        <v>6701</v>
      </c>
      <c r="C11" s="57">
        <f>SUM(C6:C10)</f>
        <v>3142</v>
      </c>
      <c r="D11" s="204">
        <f>C11/$B11</f>
        <v>0.46888524100880463</v>
      </c>
      <c r="E11" s="205">
        <v>2533</v>
      </c>
      <c r="F11" s="204">
        <f>E11/$B11</f>
        <v>0.37800328309207581</v>
      </c>
      <c r="G11" s="57">
        <v>1026</v>
      </c>
      <c r="H11" s="204">
        <f>G11/$B11</f>
        <v>0.15311147589911953</v>
      </c>
      <c r="J11" s="12">
        <f t="shared" si="2"/>
        <v>3559</v>
      </c>
      <c r="L11" s="202" t="s">
        <v>9</v>
      </c>
      <c r="M11" s="295">
        <f>SUM(M6:M9)</f>
        <v>8415</v>
      </c>
      <c r="N11" s="205">
        <f>SUM(N6:N10)</f>
        <v>3593</v>
      </c>
      <c r="O11" s="204">
        <f>N11/$M11</f>
        <v>0.42697563874034461</v>
      </c>
      <c r="P11" s="205">
        <f>SUM(P6:P10)</f>
        <v>3326</v>
      </c>
      <c r="Q11" s="204">
        <f>P11/$M11</f>
        <v>0.39524658348187758</v>
      </c>
      <c r="R11" s="57">
        <f>SUM(R6:R10)</f>
        <v>1496</v>
      </c>
      <c r="S11" s="204">
        <f>R11/$M11</f>
        <v>0.17777777777777778</v>
      </c>
      <c r="U11" s="12">
        <f t="shared" si="4"/>
        <v>4822</v>
      </c>
    </row>
    <row r="14" spans="1:21" x14ac:dyDescent="0.25">
      <c r="A14"/>
      <c r="B14"/>
      <c r="C14"/>
      <c r="D14"/>
      <c r="E14"/>
      <c r="F14"/>
      <c r="G14"/>
      <c r="H14"/>
    </row>
    <row r="15" spans="1:21" x14ac:dyDescent="0.25">
      <c r="A15"/>
      <c r="B15"/>
      <c r="C15"/>
      <c r="D15"/>
      <c r="E15"/>
      <c r="F15"/>
      <c r="G15"/>
      <c r="H15"/>
    </row>
    <row r="16" spans="1:21" x14ac:dyDescent="0.25">
      <c r="A16"/>
      <c r="B16"/>
      <c r="C16"/>
      <c r="D16"/>
      <c r="E16"/>
      <c r="F16"/>
      <c r="G16"/>
      <c r="H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</sheetData>
  <mergeCells count="12">
    <mergeCell ref="G2:H3"/>
    <mergeCell ref="A2:A4"/>
    <mergeCell ref="B2:B4"/>
    <mergeCell ref="C2:F2"/>
    <mergeCell ref="C3:D3"/>
    <mergeCell ref="E3:F3"/>
    <mergeCell ref="L2:L4"/>
    <mergeCell ref="M2:M4"/>
    <mergeCell ref="N2:Q2"/>
    <mergeCell ref="R2:S3"/>
    <mergeCell ref="N3:O3"/>
    <mergeCell ref="P3:Q3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O11 P6:P9 P11:R11 R6:R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>
    <tabColor rgb="FFFF9999"/>
  </sheetPr>
  <dimension ref="A1:AY27"/>
  <sheetViews>
    <sheetView showGridLines="0" topLeftCell="A3" zoomScaleNormal="100" workbookViewId="0">
      <selection activeCell="AW23" sqref="AM14:AW23"/>
    </sheetView>
  </sheetViews>
  <sheetFormatPr defaultColWidth="10.90625" defaultRowHeight="12.5" x14ac:dyDescent="0.25"/>
  <cols>
    <col min="1" max="1" width="15.90625" style="5" customWidth="1"/>
    <col min="2" max="2" width="11.453125" style="1"/>
    <col min="3" max="3" width="7" style="4" customWidth="1"/>
    <col min="4" max="4" width="7" style="4" bestFit="1" customWidth="1"/>
    <col min="5" max="6" width="7" style="4" customWidth="1"/>
    <col min="7" max="7" width="7" style="4" bestFit="1" customWidth="1"/>
    <col min="8" max="8" width="10.08984375" style="4" customWidth="1"/>
    <col min="10" max="10" width="14.453125" customWidth="1"/>
    <col min="11" max="11" width="7.453125" customWidth="1"/>
    <col min="12" max="20" width="6.08984375" customWidth="1"/>
    <col min="22" max="22" width="13.08984375" customWidth="1"/>
    <col min="23" max="23" width="7.6328125" bestFit="1" customWidth="1"/>
    <col min="24" max="24" width="5.54296875" customWidth="1"/>
    <col min="25" max="25" width="3.90625" customWidth="1"/>
    <col min="26" max="26" width="7.6328125" bestFit="1" customWidth="1"/>
    <col min="27" max="27" width="5.6328125" customWidth="1"/>
    <col min="28" max="28" width="3.90625" customWidth="1"/>
    <col min="29" max="29" width="7.6328125" customWidth="1"/>
    <col min="30" max="30" width="5.6328125" customWidth="1"/>
    <col min="31" max="31" width="3.90625" customWidth="1"/>
    <col min="32" max="32" width="7.6328125" bestFit="1" customWidth="1"/>
    <col min="33" max="33" width="5.6328125" customWidth="1"/>
    <col min="34" max="34" width="3.90625" customWidth="1"/>
    <col min="35" max="35" width="7.6328125" bestFit="1" customWidth="1"/>
    <col min="36" max="36" width="5.6328125" customWidth="1"/>
    <col min="37" max="37" width="3.90625" customWidth="1"/>
    <col min="39" max="39" width="13.453125" customWidth="1"/>
    <col min="40" max="49" width="7.08984375" customWidth="1"/>
  </cols>
  <sheetData>
    <row r="1" spans="1:51" x14ac:dyDescent="0.25">
      <c r="A1" s="296" t="s">
        <v>93</v>
      </c>
      <c r="V1" s="16" t="s">
        <v>71</v>
      </c>
      <c r="AM1" s="386" t="s">
        <v>0</v>
      </c>
      <c r="AN1" s="388" t="s">
        <v>11</v>
      </c>
      <c r="AO1" s="389"/>
      <c r="AP1" s="388" t="s">
        <v>19</v>
      </c>
      <c r="AQ1" s="389"/>
      <c r="AR1" s="308"/>
      <c r="AS1" s="308"/>
      <c r="AT1" s="388" t="s">
        <v>49</v>
      </c>
      <c r="AU1" s="389"/>
      <c r="AV1" s="411" t="s">
        <v>21</v>
      </c>
      <c r="AW1" s="412"/>
    </row>
    <row r="2" spans="1:51" s="7" customFormat="1" ht="26.25" customHeight="1" x14ac:dyDescent="0.25">
      <c r="A2" s="386" t="s">
        <v>0</v>
      </c>
      <c r="B2" s="386" t="s">
        <v>9</v>
      </c>
      <c r="C2" s="382" t="s">
        <v>53</v>
      </c>
      <c r="D2" s="402"/>
      <c r="E2" s="402"/>
      <c r="F2" s="402"/>
      <c r="G2" s="383"/>
      <c r="H2" s="377" t="s">
        <v>82</v>
      </c>
      <c r="J2" s="386" t="s">
        <v>0</v>
      </c>
      <c r="K2" s="388" t="s">
        <v>11</v>
      </c>
      <c r="L2" s="389"/>
      <c r="M2" s="388" t="s">
        <v>19</v>
      </c>
      <c r="N2" s="389"/>
      <c r="O2" s="308"/>
      <c r="P2" s="308"/>
      <c r="Q2" s="388" t="s">
        <v>49</v>
      </c>
      <c r="R2" s="389"/>
      <c r="S2" s="411" t="s">
        <v>21</v>
      </c>
      <c r="T2" s="412"/>
      <c r="V2" s="386" t="s">
        <v>0</v>
      </c>
      <c r="W2" s="388" t="s">
        <v>11</v>
      </c>
      <c r="X2" s="410"/>
      <c r="Y2" s="389"/>
      <c r="Z2" s="388" t="s">
        <v>19</v>
      </c>
      <c r="AA2" s="410"/>
      <c r="AB2" s="389"/>
      <c r="AC2" s="308"/>
      <c r="AD2" s="308"/>
      <c r="AE2" s="308"/>
      <c r="AF2" s="388" t="s">
        <v>49</v>
      </c>
      <c r="AG2" s="410"/>
      <c r="AH2" s="389"/>
      <c r="AI2" s="388" t="s">
        <v>21</v>
      </c>
      <c r="AJ2" s="410"/>
      <c r="AK2" s="389"/>
      <c r="AM2" s="405"/>
      <c r="AN2" s="413" t="s">
        <v>66</v>
      </c>
      <c r="AO2" s="414"/>
      <c r="AP2" s="413" t="s">
        <v>66</v>
      </c>
      <c r="AQ2" s="414"/>
      <c r="AR2" s="23"/>
      <c r="AS2" s="23"/>
      <c r="AT2" s="413" t="s">
        <v>66</v>
      </c>
      <c r="AU2" s="414"/>
      <c r="AV2" s="413" t="s">
        <v>66</v>
      </c>
      <c r="AW2" s="414"/>
    </row>
    <row r="3" spans="1:51" ht="68.25" customHeight="1" x14ac:dyDescent="0.25">
      <c r="A3" s="387"/>
      <c r="B3" s="387"/>
      <c r="C3" s="199" t="s">
        <v>11</v>
      </c>
      <c r="D3" s="208" t="s">
        <v>19</v>
      </c>
      <c r="E3" s="208"/>
      <c r="F3" s="208" t="s">
        <v>49</v>
      </c>
      <c r="G3" s="199" t="s">
        <v>21</v>
      </c>
      <c r="H3" s="378"/>
      <c r="J3" s="387"/>
      <c r="K3" s="227" t="s">
        <v>63</v>
      </c>
      <c r="L3" s="228" t="s">
        <v>64</v>
      </c>
      <c r="M3" s="227" t="s">
        <v>63</v>
      </c>
      <c r="N3" s="228" t="s">
        <v>64</v>
      </c>
      <c r="O3" s="227"/>
      <c r="P3" s="227"/>
      <c r="Q3" s="227" t="s">
        <v>63</v>
      </c>
      <c r="R3" s="228" t="s">
        <v>64</v>
      </c>
      <c r="S3" s="227" t="s">
        <v>63</v>
      </c>
      <c r="T3" s="228" t="s">
        <v>64</v>
      </c>
      <c r="V3" s="387"/>
      <c r="W3" s="227" t="s">
        <v>78</v>
      </c>
      <c r="X3" s="227" t="s">
        <v>65</v>
      </c>
      <c r="Y3" s="228" t="s">
        <v>22</v>
      </c>
      <c r="Z3" s="227" t="s">
        <v>78</v>
      </c>
      <c r="AA3" s="227" t="s">
        <v>65</v>
      </c>
      <c r="AB3" s="228" t="s">
        <v>22</v>
      </c>
      <c r="AC3" s="227"/>
      <c r="AD3" s="227"/>
      <c r="AE3" s="227"/>
      <c r="AF3" s="227" t="s">
        <v>78</v>
      </c>
      <c r="AG3" s="227" t="s">
        <v>65</v>
      </c>
      <c r="AH3" s="228" t="s">
        <v>22</v>
      </c>
      <c r="AI3" s="227" t="s">
        <v>78</v>
      </c>
      <c r="AJ3" s="227" t="s">
        <v>65</v>
      </c>
      <c r="AK3" s="228" t="s">
        <v>22</v>
      </c>
      <c r="AM3" s="387"/>
      <c r="AN3" s="227" t="s">
        <v>67</v>
      </c>
      <c r="AO3" s="228" t="s">
        <v>22</v>
      </c>
      <c r="AP3" s="227" t="s">
        <v>67</v>
      </c>
      <c r="AQ3" s="228" t="s">
        <v>22</v>
      </c>
      <c r="AR3" s="227"/>
      <c r="AS3" s="227"/>
      <c r="AT3" s="227" t="s">
        <v>67</v>
      </c>
      <c r="AU3" s="228" t="s">
        <v>22</v>
      </c>
      <c r="AV3" s="227" t="s">
        <v>67</v>
      </c>
      <c r="AW3" s="228" t="s">
        <v>22</v>
      </c>
    </row>
    <row r="4" spans="1:51" ht="6" customHeight="1" x14ac:dyDescent="0.25">
      <c r="A4" s="24"/>
      <c r="B4" s="25"/>
      <c r="C4" s="209"/>
      <c r="D4" s="209"/>
      <c r="E4" s="209"/>
      <c r="F4" s="19"/>
      <c r="G4" s="33"/>
      <c r="H4" s="200"/>
      <c r="J4" s="24"/>
      <c r="K4" s="73"/>
      <c r="L4" s="77"/>
      <c r="M4" s="77"/>
      <c r="N4" s="77"/>
      <c r="O4" s="28"/>
      <c r="P4" s="28"/>
      <c r="Q4" s="28"/>
      <c r="R4" s="172"/>
      <c r="S4" s="28"/>
      <c r="T4" s="172"/>
      <c r="V4" s="24"/>
      <c r="W4" s="24"/>
      <c r="X4" s="24"/>
      <c r="Y4" s="77"/>
      <c r="Z4" s="77"/>
      <c r="AA4" s="77"/>
      <c r="AB4" s="28"/>
      <c r="AC4" s="28"/>
      <c r="AD4" s="28"/>
      <c r="AE4" s="28"/>
      <c r="AF4" s="172"/>
      <c r="AG4" s="28"/>
      <c r="AH4" s="172"/>
      <c r="AI4" s="172"/>
      <c r="AJ4" s="28"/>
      <c r="AK4" s="172"/>
      <c r="AM4" s="24"/>
      <c r="AN4" s="24"/>
      <c r="AO4" s="77"/>
      <c r="AP4" s="77"/>
      <c r="AQ4" s="77"/>
      <c r="AR4" s="28"/>
      <c r="AS4" s="28"/>
      <c r="AT4" s="28"/>
      <c r="AU4" s="172"/>
      <c r="AV4" s="28"/>
      <c r="AW4" s="172"/>
    </row>
    <row r="5" spans="1:51" s="8" customFormat="1" ht="20.149999999999999" customHeight="1" x14ac:dyDescent="0.25">
      <c r="A5" s="31" t="s">
        <v>1</v>
      </c>
      <c r="B5" s="106">
        <f>'6.2 Freie Listen'!G6*15</f>
        <v>5730</v>
      </c>
      <c r="C5" s="102">
        <v>1801</v>
      </c>
      <c r="D5" s="200">
        <v>1476</v>
      </c>
      <c r="E5" s="200"/>
      <c r="F5" s="200">
        <v>1164</v>
      </c>
      <c r="G5" s="200">
        <v>612</v>
      </c>
      <c r="H5" s="102">
        <f>B5-C5-D5-F5-G5</f>
        <v>677</v>
      </c>
      <c r="J5" s="173" t="s">
        <v>1</v>
      </c>
      <c r="K5" s="229">
        <f>'722 Verteilung Gden'!G7</f>
        <v>28.430157628630909</v>
      </c>
      <c r="L5" s="230">
        <f>C5/B5%</f>
        <v>31.431064572425832</v>
      </c>
      <c r="M5" s="231">
        <f>'722 Verteilung Gden'!G8</f>
        <v>22.833845543769208</v>
      </c>
      <c r="N5" s="230">
        <f>D5/$B5%</f>
        <v>25.759162303664922</v>
      </c>
      <c r="O5" s="232"/>
      <c r="P5" s="232"/>
      <c r="Q5" s="232">
        <f>'722 Verteilung Gden'!G9</f>
        <v>29.513234856746305</v>
      </c>
      <c r="R5" s="230">
        <f>F5/$B5%</f>
        <v>20.31413612565445</v>
      </c>
      <c r="S5" s="210">
        <f>'722 Verteilung Gden'!G10</f>
        <v>19.222761970853572</v>
      </c>
      <c r="T5" s="230">
        <f>G5/$B5%</f>
        <v>10.68062827225131</v>
      </c>
      <c r="V5" s="173" t="s">
        <v>1</v>
      </c>
      <c r="W5" s="102">
        <v>10683</v>
      </c>
      <c r="X5" s="173">
        <v>788</v>
      </c>
      <c r="Y5" s="230">
        <f>X5/W5%</f>
        <v>7.3762051858092299</v>
      </c>
      <c r="Z5" s="115">
        <v>8731</v>
      </c>
      <c r="AA5" s="115">
        <v>482</v>
      </c>
      <c r="AB5" s="230">
        <f>AA5/Z5%</f>
        <v>5.5205589279578513</v>
      </c>
      <c r="AC5" s="230"/>
      <c r="AD5" s="230"/>
      <c r="AE5" s="230"/>
      <c r="AF5" s="181">
        <v>11659</v>
      </c>
      <c r="AG5" s="182">
        <v>249</v>
      </c>
      <c r="AH5" s="230">
        <f>AG5/AF5%</f>
        <v>2.1356891671669955</v>
      </c>
      <c r="AI5" s="200">
        <v>7351</v>
      </c>
      <c r="AJ5" s="182">
        <v>405</v>
      </c>
      <c r="AK5" s="230">
        <f>AJ5/AI5%</f>
        <v>5.5094544959869403</v>
      </c>
      <c r="AM5" s="173" t="s">
        <v>1</v>
      </c>
      <c r="AN5" s="242">
        <f>W5+X5</f>
        <v>11471</v>
      </c>
      <c r="AO5" s="230">
        <f>AN5/SUM($AN5+$AP5+$AT5+$AV5)%</f>
        <v>28.430157628630909</v>
      </c>
      <c r="AP5" s="242">
        <f>Z5+AA5</f>
        <v>9213</v>
      </c>
      <c r="AQ5" s="230">
        <f>AP5/SUM($AN5+$AP5+$AT5+$AV5)%</f>
        <v>22.833845543769208</v>
      </c>
      <c r="AR5" s="232"/>
      <c r="AS5" s="232"/>
      <c r="AT5" s="177">
        <f>AF5+AG5</f>
        <v>11908</v>
      </c>
      <c r="AU5" s="230">
        <f>AT5/SUM($AN5+$AP5+$AT5+$AV5)%</f>
        <v>29.513234856746305</v>
      </c>
      <c r="AV5" s="213">
        <f>AI5+AJ5</f>
        <v>7756</v>
      </c>
      <c r="AW5" s="230">
        <f>AV5/SUM($AN5+$AP5+$AT5+$AV5)%</f>
        <v>19.222761970853572</v>
      </c>
      <c r="AY5" s="241">
        <f>SUM(AW5+AU5+AQ5+AO5)</f>
        <v>99.999999999999986</v>
      </c>
    </row>
    <row r="6" spans="1:51" s="8" customFormat="1" ht="20.149999999999999" customHeight="1" x14ac:dyDescent="0.25">
      <c r="A6" s="31" t="s">
        <v>3</v>
      </c>
      <c r="B6" s="106">
        <f>'6.2 Freie Listen'!G7*7</f>
        <v>1428</v>
      </c>
      <c r="C6" s="200">
        <v>520</v>
      </c>
      <c r="D6" s="200">
        <v>257</v>
      </c>
      <c r="E6" s="200"/>
      <c r="F6" s="200">
        <v>146</v>
      </c>
      <c r="G6" s="200">
        <v>366</v>
      </c>
      <c r="H6" s="102">
        <f>B6-C6-D6-F6-G6</f>
        <v>139</v>
      </c>
      <c r="J6" s="173" t="s">
        <v>3</v>
      </c>
      <c r="K6" s="229">
        <f>'722 Verteilung Gden'!G12</f>
        <v>31.565995525727068</v>
      </c>
      <c r="L6" s="230">
        <f>C6/B6%</f>
        <v>36.414565826330531</v>
      </c>
      <c r="M6" s="230">
        <f>'722 Verteilung Gden'!G13</f>
        <v>17.527964205816552</v>
      </c>
      <c r="N6" s="230">
        <f>D6/$B6%</f>
        <v>17.997198879551821</v>
      </c>
      <c r="O6" s="232"/>
      <c r="P6" s="232"/>
      <c r="Q6" s="232">
        <f>'722 Verteilung Gden'!G14</f>
        <v>17.964205816554809</v>
      </c>
      <c r="R6" s="230">
        <f>F6/$B6%</f>
        <v>10.224089635854343</v>
      </c>
      <c r="S6" s="233">
        <f>'722 Verteilung Gden'!G15</f>
        <v>32.941834451901563</v>
      </c>
      <c r="T6" s="230">
        <f>G6/$B6%</f>
        <v>25.630252100840337</v>
      </c>
      <c r="V6" s="173" t="s">
        <v>3</v>
      </c>
      <c r="W6" s="200">
        <v>2740</v>
      </c>
      <c r="X6" s="173">
        <v>82</v>
      </c>
      <c r="Y6" s="230">
        <f t="shared" ref="Y6:Y8" si="0">X6/W6%</f>
        <v>2.9927007299270074</v>
      </c>
      <c r="Z6" s="115">
        <v>1519</v>
      </c>
      <c r="AA6" s="115">
        <v>48</v>
      </c>
      <c r="AB6" s="230">
        <f>AA6/Z6%</f>
        <v>3.1599736668861094</v>
      </c>
      <c r="AC6" s="230"/>
      <c r="AD6" s="230"/>
      <c r="AE6" s="230"/>
      <c r="AF6" s="181">
        <v>1549</v>
      </c>
      <c r="AG6" s="280">
        <v>57</v>
      </c>
      <c r="AH6" s="230">
        <f>AG6/AF6%</f>
        <v>3.6797934151065204</v>
      </c>
      <c r="AI6" s="181">
        <v>2786</v>
      </c>
      <c r="AJ6" s="280">
        <v>159</v>
      </c>
      <c r="AK6" s="230">
        <f t="shared" ref="AK6:AK8" si="1">AJ6/AI6%</f>
        <v>5.7071069633883704</v>
      </c>
      <c r="AM6" s="173" t="s">
        <v>3</v>
      </c>
      <c r="AN6" s="242">
        <f t="shared" ref="AN6" si="2">W6+X6</f>
        <v>2822</v>
      </c>
      <c r="AO6" s="230">
        <f>AN6/SUM($AN6+$AP6+$AT6+$AV6)%</f>
        <v>31.565995525727068</v>
      </c>
      <c r="AP6" s="242">
        <f>Z6+AA6</f>
        <v>1567</v>
      </c>
      <c r="AQ6" s="230">
        <f>AP6/SUM($AN6+$AP6+$AT6+$AV6)%</f>
        <v>17.527964205816552</v>
      </c>
      <c r="AR6" s="232"/>
      <c r="AS6" s="232"/>
      <c r="AT6" s="177">
        <f>AF6+AG6</f>
        <v>1606</v>
      </c>
      <c r="AU6" s="230">
        <f>AT6/SUM($AN6+$AP6+$AT6+$AV6)%</f>
        <v>17.964205816554809</v>
      </c>
      <c r="AV6" s="213">
        <f>AI6+AJ6</f>
        <v>2945</v>
      </c>
      <c r="AW6" s="230">
        <f>AV6/SUM($AN6+$AP6+$AT6+$AV6)%</f>
        <v>32.941834451901563</v>
      </c>
      <c r="AY6" s="241">
        <f t="shared" ref="AY6:AY8" si="3">SUM(AW6+AU6+AQ6+AO6)</f>
        <v>100</v>
      </c>
    </row>
    <row r="7" spans="1:51" s="8" customFormat="1" ht="20.149999999999999" customHeight="1" x14ac:dyDescent="0.25">
      <c r="A7" s="31" t="s">
        <v>4</v>
      </c>
      <c r="B7" s="106">
        <f>'6.2 Freie Listen'!G8*6</f>
        <v>1122</v>
      </c>
      <c r="C7" s="200">
        <v>402</v>
      </c>
      <c r="D7" s="200">
        <v>237</v>
      </c>
      <c r="E7" s="200"/>
      <c r="F7" s="200">
        <v>167</v>
      </c>
      <c r="G7" s="200">
        <v>267</v>
      </c>
      <c r="H7" s="102">
        <f>B7-C7-D7-F7-G7</f>
        <v>49</v>
      </c>
      <c r="J7" s="173" t="s">
        <v>4</v>
      </c>
      <c r="K7" s="229">
        <f>'722 Verteilung Gden'!G17</f>
        <v>35.343639981631718</v>
      </c>
      <c r="L7" s="230">
        <f>C7/B7%</f>
        <v>35.828877005347593</v>
      </c>
      <c r="M7" s="230">
        <f>'722 Verteilung Gden'!G18</f>
        <v>14.48033062911373</v>
      </c>
      <c r="N7" s="230">
        <f>D7/$B7%</f>
        <v>21.122994652406415</v>
      </c>
      <c r="O7" s="232"/>
      <c r="P7" s="232"/>
      <c r="Q7" s="232">
        <f>'722 Verteilung Gden'!G19</f>
        <v>26.098270319914281</v>
      </c>
      <c r="R7" s="230">
        <f>F7/$B7%</f>
        <v>14.884135472370765</v>
      </c>
      <c r="S7" s="233">
        <f>'722 Verteilung Gden'!G20</f>
        <v>24.077759069340274</v>
      </c>
      <c r="T7" s="230">
        <f>G7/$B7%</f>
        <v>23.796791443850267</v>
      </c>
      <c r="V7" s="173" t="s">
        <v>4</v>
      </c>
      <c r="W7" s="200">
        <v>2227</v>
      </c>
      <c r="X7" s="173">
        <v>82</v>
      </c>
      <c r="Y7" s="230">
        <f t="shared" si="0"/>
        <v>3.6820835204310733</v>
      </c>
      <c r="Z7" s="115">
        <v>925</v>
      </c>
      <c r="AA7" s="115">
        <v>21</v>
      </c>
      <c r="AB7" s="230">
        <f>AA7/Z7%</f>
        <v>2.2702702702702702</v>
      </c>
      <c r="AC7" s="230"/>
      <c r="AD7" s="230"/>
      <c r="AE7" s="230"/>
      <c r="AF7" s="181">
        <v>1647</v>
      </c>
      <c r="AG7" s="280">
        <v>58</v>
      </c>
      <c r="AH7" s="230">
        <f>AG7/AF7%</f>
        <v>3.5215543412264725</v>
      </c>
      <c r="AI7" s="181">
        <v>1533</v>
      </c>
      <c r="AJ7" s="280">
        <v>40</v>
      </c>
      <c r="AK7" s="230">
        <f t="shared" si="1"/>
        <v>2.6092628832354858</v>
      </c>
      <c r="AM7" s="173" t="s">
        <v>4</v>
      </c>
      <c r="AN7" s="242">
        <f>W7+X7</f>
        <v>2309</v>
      </c>
      <c r="AO7" s="230">
        <f>AN7/SUM($AN7+$AP7+$AT7+$AV7)%</f>
        <v>35.343639981631718</v>
      </c>
      <c r="AP7" s="242">
        <f>Z7+AA7</f>
        <v>946</v>
      </c>
      <c r="AQ7" s="230">
        <f>AP7/SUM($AN7+$AP7+$AT7+$AV7)%</f>
        <v>14.48033062911373</v>
      </c>
      <c r="AR7" s="232"/>
      <c r="AS7" s="232"/>
      <c r="AT7" s="177">
        <f>AF7+AG7</f>
        <v>1705</v>
      </c>
      <c r="AU7" s="230">
        <f>AT7/SUM($AN7+$AP7+$AT7+$AV7)%</f>
        <v>26.098270319914281</v>
      </c>
      <c r="AV7" s="213">
        <f>AI7+AJ7</f>
        <v>1573</v>
      </c>
      <c r="AW7" s="230">
        <f>AV7/SUM($AN7+$AP7+$AT7+$AV7)%</f>
        <v>24.077759069340274</v>
      </c>
      <c r="AY7" s="241">
        <f t="shared" si="3"/>
        <v>100</v>
      </c>
    </row>
    <row r="8" spans="1:51" s="8" customFormat="1" ht="20.149999999999999" customHeight="1" x14ac:dyDescent="0.25">
      <c r="A8" s="31" t="s">
        <v>6</v>
      </c>
      <c r="B8" s="106">
        <f>'6.2 Freie Listen'!G9*9</f>
        <v>2277</v>
      </c>
      <c r="C8" s="200">
        <v>751</v>
      </c>
      <c r="D8" s="200">
        <v>557</v>
      </c>
      <c r="E8" s="200"/>
      <c r="F8" s="200">
        <v>345</v>
      </c>
      <c r="G8" s="200">
        <v>329</v>
      </c>
      <c r="H8" s="102">
        <f>B8-C8-D8-F8-G8</f>
        <v>295</v>
      </c>
      <c r="J8" s="173" t="s">
        <v>6</v>
      </c>
      <c r="K8" s="229">
        <f>'722 Verteilung Gden'!G22</f>
        <v>34.606222478885442</v>
      </c>
      <c r="L8" s="230">
        <f>C8/B8%</f>
        <v>32.981993851559068</v>
      </c>
      <c r="M8" s="230">
        <f>'722 Verteilung Gden'!G23</f>
        <v>21.374431531076301</v>
      </c>
      <c r="N8" s="230">
        <f>D8/$B8%</f>
        <v>24.462011418533159</v>
      </c>
      <c r="O8" s="232"/>
      <c r="P8" s="232"/>
      <c r="Q8" s="232">
        <f>'722 Verteilung Gden'!G24</f>
        <v>18.768497798310836</v>
      </c>
      <c r="R8" s="230">
        <f>F8/$B8%</f>
        <v>15.151515151515152</v>
      </c>
      <c r="S8" s="233">
        <f>'722 Verteilung Gden'!G25</f>
        <v>25.250848191727425</v>
      </c>
      <c r="T8" s="230">
        <f>G8/$B8%</f>
        <v>14.448836187966624</v>
      </c>
      <c r="V8" s="173" t="s">
        <v>6</v>
      </c>
      <c r="W8" s="200">
        <v>4613</v>
      </c>
      <c r="X8" s="173">
        <v>181</v>
      </c>
      <c r="Y8" s="230">
        <f t="shared" si="0"/>
        <v>3.9236939085194016</v>
      </c>
      <c r="Z8" s="115">
        <v>2874</v>
      </c>
      <c r="AA8" s="115">
        <v>87</v>
      </c>
      <c r="AB8" s="230">
        <f>AA8/Z8%</f>
        <v>3.0271398747390399</v>
      </c>
      <c r="AC8" s="230"/>
      <c r="AD8" s="230"/>
      <c r="AE8" s="230"/>
      <c r="AF8" s="181">
        <v>2481</v>
      </c>
      <c r="AG8" s="280">
        <v>119</v>
      </c>
      <c r="AH8" s="230">
        <f>AG8/AF8%</f>
        <v>4.7964530431277712</v>
      </c>
      <c r="AI8" s="181">
        <v>3298</v>
      </c>
      <c r="AJ8" s="280">
        <v>200</v>
      </c>
      <c r="AK8" s="230">
        <f t="shared" si="1"/>
        <v>6.0642813826561559</v>
      </c>
      <c r="AM8" s="173" t="s">
        <v>6</v>
      </c>
      <c r="AN8" s="242">
        <f>W8+X8</f>
        <v>4794</v>
      </c>
      <c r="AO8" s="230">
        <f>AN8/SUM($AN8+$AP8+$AT8+$AV8)%</f>
        <v>34.606222478885442</v>
      </c>
      <c r="AP8" s="242">
        <f>Z8+AA8</f>
        <v>2961</v>
      </c>
      <c r="AQ8" s="230">
        <f>AP8/SUM($AN8+$AP8+$AT8+$AV8)%</f>
        <v>21.374431531076301</v>
      </c>
      <c r="AR8" s="232"/>
      <c r="AS8" s="232"/>
      <c r="AT8" s="177">
        <f>AF8+AG8</f>
        <v>2600</v>
      </c>
      <c r="AU8" s="230">
        <f>AT8/SUM($AN8+$AP8+$AT8+$AV8)%</f>
        <v>18.768497798310836</v>
      </c>
      <c r="AV8" s="213">
        <f>AI8+AJ8</f>
        <v>3498</v>
      </c>
      <c r="AW8" s="230">
        <f>AV8/SUM($AN8+$AP8+$AT8+$AV8)%</f>
        <v>25.250848191727425</v>
      </c>
      <c r="AY8" s="241">
        <f t="shared" si="3"/>
        <v>100</v>
      </c>
    </row>
    <row r="9" spans="1:51" s="8" customFormat="1" ht="6" customHeight="1" x14ac:dyDescent="0.25">
      <c r="A9" s="31"/>
      <c r="B9" s="30"/>
      <c r="C9" s="200"/>
      <c r="D9" s="200"/>
      <c r="E9" s="297"/>
      <c r="F9" s="19"/>
      <c r="G9" s="33"/>
      <c r="H9" s="200"/>
      <c r="J9" s="173"/>
      <c r="K9" s="234"/>
      <c r="L9" s="181"/>
      <c r="M9" s="230"/>
      <c r="N9" s="181"/>
      <c r="O9" s="182"/>
      <c r="P9" s="182"/>
      <c r="Q9" s="214"/>
      <c r="R9" s="181"/>
      <c r="S9" s="214"/>
      <c r="T9" s="181"/>
      <c r="V9" s="173"/>
      <c r="W9" s="173"/>
      <c r="X9" s="173"/>
      <c r="Y9" s="181"/>
      <c r="Z9" s="181"/>
      <c r="AA9" s="115"/>
      <c r="AB9" s="182"/>
      <c r="AC9" s="182"/>
      <c r="AD9" s="182"/>
      <c r="AE9" s="182"/>
      <c r="AF9" s="181"/>
      <c r="AG9" s="182"/>
      <c r="AH9" s="239"/>
      <c r="AI9" s="181"/>
      <c r="AJ9" s="182"/>
      <c r="AK9" s="239"/>
      <c r="AM9" s="173"/>
      <c r="AN9" s="242"/>
      <c r="AO9" s="181"/>
      <c r="AP9" s="115"/>
      <c r="AQ9" s="181"/>
      <c r="AR9" s="182"/>
      <c r="AS9" s="182"/>
      <c r="AT9" s="175"/>
      <c r="AU9" s="181"/>
      <c r="AV9" s="175"/>
      <c r="AW9" s="181"/>
    </row>
    <row r="10" spans="1:51" s="9" customFormat="1" ht="20.149999999999999" customHeight="1" x14ac:dyDescent="0.25">
      <c r="A10" s="211" t="s">
        <v>9</v>
      </c>
      <c r="B10" s="298">
        <f>SUM(B5:B8)</f>
        <v>10557</v>
      </c>
      <c r="C10" s="212">
        <f>SUM(C5:C9)</f>
        <v>3474</v>
      </c>
      <c r="D10" s="212">
        <f>SUM(D5:D9)</f>
        <v>2527</v>
      </c>
      <c r="E10" s="212"/>
      <c r="F10" s="212">
        <f>SUM(F5:F9)</f>
        <v>1822</v>
      </c>
      <c r="G10" s="212">
        <f>SUM(G5:G9)</f>
        <v>1574</v>
      </c>
      <c r="H10" s="212">
        <f>SUM(H5:H9)</f>
        <v>1160</v>
      </c>
      <c r="J10" s="206" t="s">
        <v>9</v>
      </c>
      <c r="K10" s="235">
        <f>'722 Verteilung Gden'!V6</f>
        <v>30.708729224674915</v>
      </c>
      <c r="L10" s="236">
        <f>C10/B10%</f>
        <v>32.907075873827793</v>
      </c>
      <c r="M10" s="236">
        <f>'722 Verteilung Gden'!V7</f>
        <v>21.079599276631168</v>
      </c>
      <c r="N10" s="236">
        <f>D10/$B10%</f>
        <v>23.936724448233402</v>
      </c>
      <c r="O10" s="237"/>
      <c r="P10" s="237"/>
      <c r="Q10" s="237">
        <f>'722 Verteilung Gden'!V8</f>
        <v>25.574819875419813</v>
      </c>
      <c r="R10" s="236">
        <f>F10/$B10%</f>
        <v>17.258690915979919</v>
      </c>
      <c r="S10" s="238">
        <f>'722 Verteilung Gden'!V9</f>
        <v>22.636851623274104</v>
      </c>
      <c r="T10" s="236">
        <f>G10/$B10%</f>
        <v>14.909538694704937</v>
      </c>
      <c r="V10" s="206" t="s">
        <v>9</v>
      </c>
      <c r="W10" s="207">
        <f>SUM(W5:W8)</f>
        <v>20263</v>
      </c>
      <c r="X10" s="207">
        <f>SUM(X5:X9)</f>
        <v>1133</v>
      </c>
      <c r="Y10" s="236">
        <f>X10/W10%</f>
        <v>5.5914721413413613</v>
      </c>
      <c r="Z10" s="207">
        <f>SUM(Z5:Z9)</f>
        <v>14049</v>
      </c>
      <c r="AA10" s="207">
        <f>SUM(AA5:AA9)</f>
        <v>638</v>
      </c>
      <c r="AB10" s="236">
        <f>AA10/Z10%</f>
        <v>4.5412484874368282</v>
      </c>
      <c r="AC10" s="236"/>
      <c r="AD10" s="236"/>
      <c r="AE10" s="236"/>
      <c r="AF10" s="207">
        <f>SUM(AF5:AF8)</f>
        <v>17336</v>
      </c>
      <c r="AG10" s="207">
        <f>SUM(AG5:AG9)</f>
        <v>483</v>
      </c>
      <c r="AH10" s="236">
        <f>AG10/AF10%</f>
        <v>2.786109829257037</v>
      </c>
      <c r="AI10" s="207">
        <f>SUM(AI5:AI9)</f>
        <v>14968</v>
      </c>
      <c r="AJ10" s="207">
        <f>SUM(AJ5:AJ9)</f>
        <v>804</v>
      </c>
      <c r="AK10" s="236">
        <f>AJ10/AI10%</f>
        <v>5.3714591127739171</v>
      </c>
      <c r="AM10" s="206" t="s">
        <v>9</v>
      </c>
      <c r="AN10" s="134">
        <f>SUM(AN5:AN8)</f>
        <v>21396</v>
      </c>
      <c r="AO10" s="236">
        <f>AN10/SUM($AN10+$AP10+$AT10+$AV10)%</f>
        <v>30.708729224674915</v>
      </c>
      <c r="AP10" s="134">
        <f>SUM(AP5:AP8)</f>
        <v>14687</v>
      </c>
      <c r="AQ10" s="236">
        <f>AP10/SUM($AN10+$AP10+$AT10+$AV10)%</f>
        <v>21.079599276631168</v>
      </c>
      <c r="AR10" s="236"/>
      <c r="AS10" s="236"/>
      <c r="AT10" s="134">
        <f>SUM(AT5:AT8)</f>
        <v>17819</v>
      </c>
      <c r="AU10" s="236">
        <f>AT10/SUM($AN10+$AP10+$AT10+$AV10)%</f>
        <v>25.574819875419813</v>
      </c>
      <c r="AV10" s="134">
        <f>SUM(AV5:AV8)</f>
        <v>15772</v>
      </c>
      <c r="AW10" s="236">
        <f>AV10/SUM($AN10+$AP10+$AT10+$AV10)%</f>
        <v>22.636851623274104</v>
      </c>
    </row>
    <row r="11" spans="1:51" ht="13" x14ac:dyDescent="0.25"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V11" s="20"/>
      <c r="W11" s="20">
        <f>W10+X10</f>
        <v>21396</v>
      </c>
      <c r="X11" s="20"/>
      <c r="Y11" s="20"/>
      <c r="Z11" s="20">
        <f>Z10+AA10</f>
        <v>14687</v>
      </c>
      <c r="AA11" s="240"/>
      <c r="AB11" s="20"/>
      <c r="AC11" s="20"/>
      <c r="AD11" s="20"/>
      <c r="AE11" s="20"/>
      <c r="AF11" s="20">
        <f>AF10+AG10</f>
        <v>17819</v>
      </c>
      <c r="AG11" s="20"/>
      <c r="AH11" s="20"/>
      <c r="AI11" s="20">
        <f>AI10+AJ10</f>
        <v>15772</v>
      </c>
      <c r="AJ11" s="20"/>
      <c r="AK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spans="1:51" ht="12.75" customHeight="1" x14ac:dyDescent="0.25">
      <c r="A12" s="194"/>
      <c r="B12" s="15"/>
      <c r="C12" s="194"/>
      <c r="D12" s="15"/>
      <c r="E12" s="15"/>
      <c r="F12" s="15"/>
      <c r="G12" s="15"/>
      <c r="H12" s="15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V12" s="20"/>
      <c r="W12" s="194"/>
      <c r="X12" s="20"/>
      <c r="Y12" s="20"/>
      <c r="Z12" s="20"/>
      <c r="AA12" s="194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</row>
    <row r="13" spans="1:51" ht="13" x14ac:dyDescent="0.25">
      <c r="A13" s="194"/>
      <c r="C13" s="194"/>
      <c r="V13" s="20"/>
      <c r="W13" s="194"/>
      <c r="X13" s="20"/>
      <c r="Y13" s="20"/>
      <c r="Z13" s="20"/>
      <c r="AA13" s="194"/>
      <c r="AB13" s="20"/>
      <c r="AC13" s="20"/>
      <c r="AD13" s="20"/>
      <c r="AE13" s="20"/>
      <c r="AF13" s="20"/>
      <c r="AG13" s="20"/>
      <c r="AH13" s="20"/>
      <c r="AI13" s="20"/>
      <c r="AJ13" s="20"/>
      <c r="AK13" s="20"/>
    </row>
    <row r="14" spans="1:51" x14ac:dyDescent="0.25">
      <c r="A14" s="296" t="s">
        <v>94</v>
      </c>
      <c r="V14" s="315" t="s">
        <v>98</v>
      </c>
      <c r="AM14" s="386" t="s">
        <v>0</v>
      </c>
      <c r="AN14" s="388" t="s">
        <v>11</v>
      </c>
      <c r="AO14" s="389"/>
      <c r="AP14" s="388" t="s">
        <v>19</v>
      </c>
      <c r="AQ14" s="389"/>
      <c r="AR14" s="388" t="s">
        <v>90</v>
      </c>
      <c r="AS14" s="389"/>
      <c r="AT14" s="388" t="s">
        <v>49</v>
      </c>
      <c r="AU14" s="389"/>
      <c r="AV14" s="411" t="s">
        <v>21</v>
      </c>
      <c r="AW14" s="412"/>
    </row>
    <row r="15" spans="1:51" ht="26.25" customHeight="1" x14ac:dyDescent="0.25">
      <c r="A15" s="386" t="s">
        <v>0</v>
      </c>
      <c r="B15" s="386" t="s">
        <v>9</v>
      </c>
      <c r="C15" s="382" t="s">
        <v>53</v>
      </c>
      <c r="D15" s="402"/>
      <c r="E15" s="402"/>
      <c r="F15" s="402"/>
      <c r="G15" s="383"/>
      <c r="H15" s="377" t="s">
        <v>82</v>
      </c>
      <c r="I15" s="7"/>
      <c r="J15" s="386" t="s">
        <v>0</v>
      </c>
      <c r="K15" s="388" t="s">
        <v>11</v>
      </c>
      <c r="L15" s="389"/>
      <c r="M15" s="388" t="s">
        <v>19</v>
      </c>
      <c r="N15" s="389"/>
      <c r="O15" s="388" t="s">
        <v>90</v>
      </c>
      <c r="P15" s="389"/>
      <c r="Q15" s="388" t="s">
        <v>49</v>
      </c>
      <c r="R15" s="389"/>
      <c r="S15" s="411" t="s">
        <v>21</v>
      </c>
      <c r="T15" s="412"/>
      <c r="U15" s="7"/>
      <c r="V15" s="386" t="s">
        <v>0</v>
      </c>
      <c r="W15" s="388" t="s">
        <v>11</v>
      </c>
      <c r="X15" s="410"/>
      <c r="Y15" s="389"/>
      <c r="Z15" s="388" t="s">
        <v>19</v>
      </c>
      <c r="AA15" s="410"/>
      <c r="AB15" s="389"/>
      <c r="AC15" s="388" t="s">
        <v>90</v>
      </c>
      <c r="AD15" s="410"/>
      <c r="AE15" s="389"/>
      <c r="AF15" s="388" t="s">
        <v>49</v>
      </c>
      <c r="AG15" s="410"/>
      <c r="AH15" s="389"/>
      <c r="AI15" s="388" t="s">
        <v>21</v>
      </c>
      <c r="AJ15" s="410"/>
      <c r="AK15" s="389"/>
      <c r="AL15" s="7"/>
      <c r="AM15" s="405"/>
      <c r="AN15" s="413" t="s">
        <v>66</v>
      </c>
      <c r="AO15" s="414"/>
      <c r="AP15" s="413" t="s">
        <v>66</v>
      </c>
      <c r="AQ15" s="414"/>
      <c r="AR15" s="413" t="s">
        <v>66</v>
      </c>
      <c r="AS15" s="414"/>
      <c r="AT15" s="413" t="s">
        <v>66</v>
      </c>
      <c r="AU15" s="414"/>
      <c r="AV15" s="413" t="s">
        <v>66</v>
      </c>
      <c r="AW15" s="414"/>
      <c r="AX15" s="7"/>
      <c r="AY15" s="7"/>
    </row>
    <row r="16" spans="1:51" ht="68.25" customHeight="1" x14ac:dyDescent="0.25">
      <c r="A16" s="387"/>
      <c r="B16" s="387"/>
      <c r="C16" s="199" t="s">
        <v>11</v>
      </c>
      <c r="D16" s="208" t="s">
        <v>19</v>
      </c>
      <c r="E16" s="208" t="s">
        <v>90</v>
      </c>
      <c r="F16" s="208" t="s">
        <v>49</v>
      </c>
      <c r="G16" s="199" t="s">
        <v>21</v>
      </c>
      <c r="H16" s="378"/>
      <c r="J16" s="387"/>
      <c r="K16" s="227" t="s">
        <v>63</v>
      </c>
      <c r="L16" s="228" t="s">
        <v>64</v>
      </c>
      <c r="M16" s="227" t="s">
        <v>63</v>
      </c>
      <c r="N16" s="228" t="s">
        <v>64</v>
      </c>
      <c r="O16" s="227" t="s">
        <v>63</v>
      </c>
      <c r="P16" s="228" t="s">
        <v>64</v>
      </c>
      <c r="Q16" s="227" t="s">
        <v>63</v>
      </c>
      <c r="R16" s="228" t="s">
        <v>64</v>
      </c>
      <c r="S16" s="227" t="s">
        <v>63</v>
      </c>
      <c r="T16" s="228" t="s">
        <v>64</v>
      </c>
      <c r="V16" s="387"/>
      <c r="W16" s="227" t="s">
        <v>78</v>
      </c>
      <c r="X16" s="227" t="s">
        <v>65</v>
      </c>
      <c r="Y16" s="228" t="s">
        <v>22</v>
      </c>
      <c r="Z16" s="227" t="s">
        <v>78</v>
      </c>
      <c r="AA16" s="227" t="s">
        <v>65</v>
      </c>
      <c r="AB16" s="228" t="s">
        <v>22</v>
      </c>
      <c r="AC16" s="227" t="s">
        <v>78</v>
      </c>
      <c r="AD16" s="227" t="s">
        <v>65</v>
      </c>
      <c r="AE16" s="228" t="s">
        <v>22</v>
      </c>
      <c r="AF16" s="227" t="s">
        <v>78</v>
      </c>
      <c r="AG16" s="227" t="s">
        <v>65</v>
      </c>
      <c r="AH16" s="228" t="s">
        <v>22</v>
      </c>
      <c r="AI16" s="227" t="s">
        <v>78</v>
      </c>
      <c r="AJ16" s="227" t="s">
        <v>65</v>
      </c>
      <c r="AK16" s="228" t="s">
        <v>22</v>
      </c>
      <c r="AM16" s="387"/>
      <c r="AN16" s="227" t="s">
        <v>67</v>
      </c>
      <c r="AO16" s="228" t="s">
        <v>22</v>
      </c>
      <c r="AP16" s="227" t="s">
        <v>67</v>
      </c>
      <c r="AQ16" s="228" t="s">
        <v>22</v>
      </c>
      <c r="AR16" s="227" t="s">
        <v>67</v>
      </c>
      <c r="AS16" s="228" t="s">
        <v>22</v>
      </c>
      <c r="AT16" s="227" t="s">
        <v>67</v>
      </c>
      <c r="AU16" s="228" t="s">
        <v>22</v>
      </c>
      <c r="AV16" s="227" t="s">
        <v>67</v>
      </c>
      <c r="AW16" s="228" t="s">
        <v>22</v>
      </c>
    </row>
    <row r="17" spans="1:51" ht="6" customHeight="1" x14ac:dyDescent="0.25">
      <c r="A17" s="24"/>
      <c r="B17" s="25"/>
      <c r="C17" s="209"/>
      <c r="D17" s="209"/>
      <c r="E17" s="209"/>
      <c r="F17" s="19"/>
      <c r="G17" s="33"/>
      <c r="H17" s="200"/>
      <c r="J17" s="24"/>
      <c r="K17" s="73"/>
      <c r="L17" s="77"/>
      <c r="M17" s="77"/>
      <c r="N17" s="77"/>
      <c r="O17" s="77"/>
      <c r="P17" s="77"/>
      <c r="Q17" s="28"/>
      <c r="R17" s="172"/>
      <c r="S17" s="28"/>
      <c r="T17" s="172"/>
      <c r="V17" s="24"/>
      <c r="W17" s="24"/>
      <c r="X17" s="24"/>
      <c r="Y17" s="77"/>
      <c r="Z17" s="77"/>
      <c r="AA17" s="77"/>
      <c r="AB17" s="28"/>
      <c r="AC17" s="77"/>
      <c r="AD17" s="77"/>
      <c r="AE17" s="28"/>
      <c r="AF17" s="172"/>
      <c r="AG17" s="28"/>
      <c r="AH17" s="172"/>
      <c r="AI17" s="172"/>
      <c r="AJ17" s="28"/>
      <c r="AK17" s="172"/>
      <c r="AM17" s="24"/>
      <c r="AN17" s="24"/>
      <c r="AO17" s="77"/>
      <c r="AP17" s="77"/>
      <c r="AQ17" s="77"/>
      <c r="AR17" s="77"/>
      <c r="AS17" s="77"/>
      <c r="AT17" s="28"/>
      <c r="AU17" s="172"/>
      <c r="AV17" s="28"/>
      <c r="AW17" s="172"/>
    </row>
    <row r="18" spans="1:51" ht="19.5" customHeight="1" x14ac:dyDescent="0.25">
      <c r="A18" s="31" t="s">
        <v>1</v>
      </c>
      <c r="B18" s="106">
        <f>'6.2 Freie Listen'!R6*15</f>
        <v>7335</v>
      </c>
      <c r="C18" s="102">
        <v>2113</v>
      </c>
      <c r="D18" s="200">
        <v>1265</v>
      </c>
      <c r="E18" s="200">
        <v>933</v>
      </c>
      <c r="F18" s="200">
        <v>921</v>
      </c>
      <c r="G18" s="200">
        <v>653</v>
      </c>
      <c r="H18" s="102">
        <f>B18-C18-D18-E18-F18-G18</f>
        <v>1450</v>
      </c>
      <c r="I18" s="8"/>
      <c r="J18" s="173" t="s">
        <v>1</v>
      </c>
      <c r="K18" s="229">
        <f>'722 Verteilung Gden'!G38</f>
        <v>32.113662903853644</v>
      </c>
      <c r="L18" s="230">
        <f>C18/B18%</f>
        <v>28.807089297886847</v>
      </c>
      <c r="M18" s="231">
        <f>'722 Verteilung Gden'!G39</f>
        <v>17.39198131568704</v>
      </c>
      <c r="N18" s="230">
        <f>D18/$B18%</f>
        <v>17.246080436264485</v>
      </c>
      <c r="O18" s="232">
        <f>'722 Verteilung Gden'!G40</f>
        <v>12.588555858310627</v>
      </c>
      <c r="P18" s="232">
        <f>E18/$B18%</f>
        <v>12.719836400817996</v>
      </c>
      <c r="Q18" s="232">
        <f>'722 Verteilung Gden'!G41</f>
        <v>20.587777345270535</v>
      </c>
      <c r="R18" s="230">
        <f>F18/$B18%</f>
        <v>12.556237218813907</v>
      </c>
      <c r="S18" s="210">
        <f>'722 Verteilung Gden'!G42</f>
        <v>17.318022576878164</v>
      </c>
      <c r="T18" s="230">
        <f>G18/$B18%</f>
        <v>8.9025221540558963</v>
      </c>
      <c r="U18" s="8"/>
      <c r="V18" s="173" t="s">
        <v>1</v>
      </c>
      <c r="W18" s="102">
        <v>15545</v>
      </c>
      <c r="X18" s="314">
        <v>955</v>
      </c>
      <c r="Y18" s="230">
        <f>X18/W18%</f>
        <v>6.1434544869733037</v>
      </c>
      <c r="Z18" s="115">
        <v>8378</v>
      </c>
      <c r="AA18" s="115">
        <v>558</v>
      </c>
      <c r="AB18" s="230">
        <f>AA18/Z18%</f>
        <v>6.660300787777512</v>
      </c>
      <c r="AC18" s="115">
        <v>5988</v>
      </c>
      <c r="AD18" s="115">
        <v>480</v>
      </c>
      <c r="AE18" s="230">
        <f>AD18/AC18%</f>
        <v>8.0160320641282556</v>
      </c>
      <c r="AF18" s="181">
        <v>10131</v>
      </c>
      <c r="AG18" s="182">
        <v>447</v>
      </c>
      <c r="AH18" s="230">
        <f>AG18/AF18%</f>
        <v>4.4122001776724904</v>
      </c>
      <c r="AI18" s="200">
        <v>8169</v>
      </c>
      <c r="AJ18" s="182">
        <v>729</v>
      </c>
      <c r="AK18" s="230">
        <f>AJ18/AI18%</f>
        <v>8.9239809034153517</v>
      </c>
      <c r="AL18" s="8"/>
      <c r="AM18" s="173" t="s">
        <v>1</v>
      </c>
      <c r="AN18" s="242">
        <f>W18+X18</f>
        <v>16500</v>
      </c>
      <c r="AO18" s="230">
        <f>AN18/SUM($AN18+$AP18+$AR18+$AT18+$AV18)%</f>
        <v>32.113662903853644</v>
      </c>
      <c r="AP18" s="242">
        <f>Z18+AA18</f>
        <v>8936</v>
      </c>
      <c r="AQ18" s="230">
        <f>AP18/SUM($AN18+$AP18+$AR18+$AT18+$AV18)%</f>
        <v>17.39198131568704</v>
      </c>
      <c r="AR18" s="242">
        <f>AC18+AD18</f>
        <v>6468</v>
      </c>
      <c r="AS18" s="230">
        <f>AR18/SUM($AN18+$AR18+$AP18+$AT18+$AV18)%</f>
        <v>12.588555858310627</v>
      </c>
      <c r="AT18" s="177">
        <f>AF18+AG18</f>
        <v>10578</v>
      </c>
      <c r="AU18" s="230">
        <f>AT18/SUM($AN18+$AP18+$AR18+$AT18+$AV18)%</f>
        <v>20.587777345270535</v>
      </c>
      <c r="AV18" s="213">
        <f>AI18+AJ18</f>
        <v>8898</v>
      </c>
      <c r="AW18" s="230">
        <f>AV18/SUM($AN18+$AP18+$AR18+$AT18+$AV18)%</f>
        <v>17.318022576878164</v>
      </c>
      <c r="AX18" s="8"/>
      <c r="AY18" s="241">
        <f>SUM(AS18+AW18+AU18+AQ18+AO18)</f>
        <v>100.00000000000003</v>
      </c>
    </row>
    <row r="19" spans="1:51" ht="19.5" customHeight="1" x14ac:dyDescent="0.25">
      <c r="A19" s="31" t="s">
        <v>3</v>
      </c>
      <c r="B19" s="106">
        <f>'6.2 Freie Listen'!R7*7</f>
        <v>2121</v>
      </c>
      <c r="C19" s="200">
        <v>572</v>
      </c>
      <c r="D19" s="200">
        <v>394</v>
      </c>
      <c r="E19" s="200">
        <v>243</v>
      </c>
      <c r="F19" s="200">
        <v>167</v>
      </c>
      <c r="G19" s="200">
        <v>510</v>
      </c>
      <c r="H19" s="102">
        <f>B19-C19-D19-E19-F19-G19</f>
        <v>235</v>
      </c>
      <c r="I19" s="8"/>
      <c r="J19" s="173" t="s">
        <v>3</v>
      </c>
      <c r="K19" s="229">
        <f>'722 Verteilung Gden'!G44</f>
        <v>26.377663482733286</v>
      </c>
      <c r="L19" s="230">
        <f>C19/B19%</f>
        <v>26.968411126826968</v>
      </c>
      <c r="M19" s="230">
        <f>'722 Verteilung Gden'!G45</f>
        <v>14.704261572373255</v>
      </c>
      <c r="N19" s="230">
        <f>D19/$B19%</f>
        <v>18.576143328618574</v>
      </c>
      <c r="O19" s="232">
        <f>'722 Verteilung Gden'!G46</f>
        <v>11.195811903012491</v>
      </c>
      <c r="P19" s="232">
        <f t="shared" ref="P19:P21" si="4">E19/$B19%</f>
        <v>11.456859971711456</v>
      </c>
      <c r="Q19" s="232">
        <f>'722 Verteilung Gden'!G47</f>
        <v>12.812270389419545</v>
      </c>
      <c r="R19" s="230">
        <f>F19/$B19%</f>
        <v>7.8736445073078736</v>
      </c>
      <c r="S19" s="233">
        <f>'722 Verteilung Gden'!G48</f>
        <v>34.909992652461426</v>
      </c>
      <c r="T19" s="230">
        <f>G19/$B19%</f>
        <v>24.045261669024043</v>
      </c>
      <c r="U19" s="8"/>
      <c r="V19" s="173" t="s">
        <v>3</v>
      </c>
      <c r="W19" s="200">
        <v>2656</v>
      </c>
      <c r="X19" s="314">
        <v>216</v>
      </c>
      <c r="Y19" s="230">
        <f>X19/W19%</f>
        <v>8.1325301204819276</v>
      </c>
      <c r="Z19" s="115">
        <v>1546</v>
      </c>
      <c r="AA19" s="115">
        <v>55</v>
      </c>
      <c r="AB19" s="230">
        <f>AA19/Z19%</f>
        <v>3.557567917205692</v>
      </c>
      <c r="AC19" s="115">
        <v>1180</v>
      </c>
      <c r="AD19" s="115">
        <v>39</v>
      </c>
      <c r="AE19" s="230">
        <f>AD19/AC19%</f>
        <v>3.3050847457627115</v>
      </c>
      <c r="AF19" s="181">
        <v>1383</v>
      </c>
      <c r="AG19" s="280">
        <v>12</v>
      </c>
      <c r="AH19" s="230">
        <f>AG19/AF19%</f>
        <v>0.86767895878524948</v>
      </c>
      <c r="AI19" s="181">
        <v>3592</v>
      </c>
      <c r="AJ19" s="280">
        <v>209</v>
      </c>
      <c r="AK19" s="230">
        <f t="shared" ref="AK19:AK21" si="5">AJ19/AI19%</f>
        <v>5.8184855233853003</v>
      </c>
      <c r="AL19" s="8"/>
      <c r="AM19" s="173" t="s">
        <v>3</v>
      </c>
      <c r="AN19" s="242">
        <f>W19+X19</f>
        <v>2872</v>
      </c>
      <c r="AO19" s="230">
        <f>AN19/SUM($AN19+$AP19+$AR19+$AT19+$AV19)%</f>
        <v>26.377663482733286</v>
      </c>
      <c r="AP19" s="242">
        <f>Z19+AA19</f>
        <v>1601</v>
      </c>
      <c r="AQ19" s="230">
        <f>AP19/SUM($AN19+$AP19+$AR19+$AT19+$AV19)%</f>
        <v>14.704261572373255</v>
      </c>
      <c r="AR19" s="242">
        <f>AC19+AD19</f>
        <v>1219</v>
      </c>
      <c r="AS19" s="230">
        <f>AR19/SUM($AN19+$AR19+$AP19+$AT19+$AV19)%</f>
        <v>11.195811903012491</v>
      </c>
      <c r="AT19" s="177">
        <f>AF19+AG19</f>
        <v>1395</v>
      </c>
      <c r="AU19" s="230">
        <f>AT19/SUM($AN19+$AP19+$AR19+$AT19+$AV19)%</f>
        <v>12.812270389419545</v>
      </c>
      <c r="AV19" s="213">
        <f>AI19+AJ19</f>
        <v>3801</v>
      </c>
      <c r="AW19" s="230">
        <f>AV19/SUM($AN19+$AP19+$AR19+$AT19+$AV19)%</f>
        <v>34.909992652461426</v>
      </c>
      <c r="AX19" s="8"/>
      <c r="AY19" s="241">
        <f t="shared" ref="AY19:AY21" si="6">SUM(AS19+AW19+AU19+AQ19+AO19)</f>
        <v>100</v>
      </c>
    </row>
    <row r="20" spans="1:51" ht="19.5" customHeight="1" x14ac:dyDescent="0.25">
      <c r="A20" s="31" t="s">
        <v>4</v>
      </c>
      <c r="B20" s="106">
        <f>'6.2 Freie Listen'!R8*6</f>
        <v>1764</v>
      </c>
      <c r="C20" s="200">
        <v>402</v>
      </c>
      <c r="D20" s="200">
        <v>459</v>
      </c>
      <c r="E20" s="200">
        <v>0</v>
      </c>
      <c r="F20" s="200">
        <v>389</v>
      </c>
      <c r="G20" s="200">
        <v>365</v>
      </c>
      <c r="H20" s="102">
        <f t="shared" ref="H20:H21" si="7">B20-C20-D20-E20-F20-G20</f>
        <v>149</v>
      </c>
      <c r="I20" s="8"/>
      <c r="J20" s="173" t="s">
        <v>4</v>
      </c>
      <c r="K20" s="229">
        <f>'722 Verteilung Gden'!G50</f>
        <v>24.64243537593492</v>
      </c>
      <c r="L20" s="230">
        <f>C20/B20%</f>
        <v>22.789115646258502</v>
      </c>
      <c r="M20" s="230">
        <f>'722 Verteilung Gden'!G51</f>
        <v>20.391024799895028</v>
      </c>
      <c r="N20" s="230">
        <f>D20/$B20%</f>
        <v>26.020408163265305</v>
      </c>
      <c r="O20" s="232">
        <f>'722 Verteilung Gden'!G52</f>
        <v>0</v>
      </c>
      <c r="P20" s="232">
        <f t="shared" si="4"/>
        <v>0</v>
      </c>
      <c r="Q20" s="232">
        <f>'722 Verteilung Gden'!G53</f>
        <v>28.303372260858158</v>
      </c>
      <c r="R20" s="230">
        <f>F20/$B20%</f>
        <v>22.052154195011337</v>
      </c>
      <c r="S20" s="233">
        <f>'722 Verteilung Gden'!G54</f>
        <v>26.663167563311905</v>
      </c>
      <c r="T20" s="230">
        <f>G20/$B20%</f>
        <v>20.691609977324262</v>
      </c>
      <c r="U20" s="8"/>
      <c r="V20" s="173" t="s">
        <v>4</v>
      </c>
      <c r="W20" s="200">
        <v>1772</v>
      </c>
      <c r="X20" s="314">
        <v>106</v>
      </c>
      <c r="Y20" s="230">
        <f t="shared" ref="Y20:Y21" si="8">X20/W20%</f>
        <v>5.9819413092550793</v>
      </c>
      <c r="Z20" s="115">
        <v>1518</v>
      </c>
      <c r="AA20" s="115">
        <v>36</v>
      </c>
      <c r="AB20" s="230">
        <f>AA20/Z20%</f>
        <v>2.3715415019762847</v>
      </c>
      <c r="AC20" s="115"/>
      <c r="AD20" s="115"/>
      <c r="AE20" s="230"/>
      <c r="AF20" s="181">
        <v>2133</v>
      </c>
      <c r="AG20" s="280">
        <v>24</v>
      </c>
      <c r="AH20" s="230">
        <f>AG20/AF20%</f>
        <v>1.1251758087201127</v>
      </c>
      <c r="AI20" s="181">
        <v>1940</v>
      </c>
      <c r="AJ20" s="280">
        <v>92</v>
      </c>
      <c r="AK20" s="230">
        <f t="shared" si="5"/>
        <v>4.7422680412371134</v>
      </c>
      <c r="AL20" s="8"/>
      <c r="AM20" s="173" t="s">
        <v>4</v>
      </c>
      <c r="AN20" s="242">
        <f>W20+X20</f>
        <v>1878</v>
      </c>
      <c r="AO20" s="230">
        <f>AN20/SUM($AN20+$AP20+$AR20+$AT20+$AV20)%</f>
        <v>24.64243537593492</v>
      </c>
      <c r="AP20" s="242">
        <f>Z20+AA20</f>
        <v>1554</v>
      </c>
      <c r="AQ20" s="230">
        <f>AP20/SUM($AN20+$AP20+$AR20+$AT20+$AV20)%</f>
        <v>20.391024799895028</v>
      </c>
      <c r="AR20" s="242"/>
      <c r="AS20" s="230"/>
      <c r="AT20" s="177">
        <f>AF20+AG20</f>
        <v>2157</v>
      </c>
      <c r="AU20" s="230">
        <f>AT20/SUM($AN20+$AP20+$AR20+$AT20+$AV20)%</f>
        <v>28.303372260858158</v>
      </c>
      <c r="AV20" s="213">
        <f>AI20+AJ20</f>
        <v>2032</v>
      </c>
      <c r="AW20" s="230">
        <f>AV20/SUM($AN20+$AP20+$AR20+$AT20+$AV20)%</f>
        <v>26.663167563311905</v>
      </c>
      <c r="AX20" s="8"/>
      <c r="AY20" s="241">
        <f t="shared" si="6"/>
        <v>100.00000000000001</v>
      </c>
    </row>
    <row r="21" spans="1:51" ht="19.5" customHeight="1" x14ac:dyDescent="0.25">
      <c r="A21" s="31" t="s">
        <v>6</v>
      </c>
      <c r="B21" s="106">
        <f>'6.2 Freie Listen'!R9*9</f>
        <v>3690</v>
      </c>
      <c r="C21" s="200">
        <v>1154</v>
      </c>
      <c r="D21" s="200">
        <v>851</v>
      </c>
      <c r="E21" s="200">
        <v>180</v>
      </c>
      <c r="F21" s="200">
        <v>443</v>
      </c>
      <c r="G21" s="200">
        <v>497</v>
      </c>
      <c r="H21" s="102">
        <f t="shared" si="7"/>
        <v>565</v>
      </c>
      <c r="I21" s="8"/>
      <c r="J21" s="173" t="s">
        <v>6</v>
      </c>
      <c r="K21" s="229">
        <f>'722 Verteilung Gden'!G56</f>
        <v>38.290705640557206</v>
      </c>
      <c r="L21" s="230">
        <f>C21/B21%</f>
        <v>31.273712737127372</v>
      </c>
      <c r="M21" s="230">
        <f>'722 Verteilung Gden'!G57</f>
        <v>19.365151861155514</v>
      </c>
      <c r="N21" s="230">
        <f>D21/$B21%</f>
        <v>23.062330623306234</v>
      </c>
      <c r="O21" s="232">
        <f>'722 Verteilung Gden'!G58</f>
        <v>5.1667047271066453</v>
      </c>
      <c r="P21" s="232">
        <f t="shared" si="4"/>
        <v>4.8780487804878048</v>
      </c>
      <c r="Q21" s="232">
        <f>'722 Verteilung Gden'!G59</f>
        <v>13.461977620461292</v>
      </c>
      <c r="R21" s="230">
        <f>F21/$B21%</f>
        <v>12.005420054200542</v>
      </c>
      <c r="S21" s="233">
        <f>'722 Verteilung Gden'!G60</f>
        <v>23.715460150719341</v>
      </c>
      <c r="T21" s="230">
        <f>G21/$B21%</f>
        <v>13.468834688346885</v>
      </c>
      <c r="U21" s="8"/>
      <c r="V21" s="173" t="s">
        <v>6</v>
      </c>
      <c r="W21" s="200">
        <v>5979</v>
      </c>
      <c r="X21" s="314">
        <v>728</v>
      </c>
      <c r="Y21" s="230">
        <f t="shared" si="8"/>
        <v>12.175949155377154</v>
      </c>
      <c r="Z21" s="115">
        <v>3268</v>
      </c>
      <c r="AA21" s="115">
        <v>124</v>
      </c>
      <c r="AB21" s="230">
        <f>AA21/Z21%</f>
        <v>3.7943696450428397</v>
      </c>
      <c r="AC21" s="115">
        <v>724</v>
      </c>
      <c r="AD21" s="115">
        <v>181</v>
      </c>
      <c r="AE21" s="230">
        <f>AD21/AC21%</f>
        <v>25</v>
      </c>
      <c r="AF21" s="181">
        <v>2279</v>
      </c>
      <c r="AG21" s="280">
        <v>79</v>
      </c>
      <c r="AH21" s="230">
        <f>AG21/AF21%</f>
        <v>3.4664326458973234</v>
      </c>
      <c r="AI21" s="181">
        <v>3921</v>
      </c>
      <c r="AJ21" s="280">
        <v>233</v>
      </c>
      <c r="AK21" s="230">
        <f t="shared" si="5"/>
        <v>5.9423616424381533</v>
      </c>
      <c r="AL21" s="8"/>
      <c r="AM21" s="173" t="s">
        <v>6</v>
      </c>
      <c r="AN21" s="242">
        <f>W21+X21</f>
        <v>6707</v>
      </c>
      <c r="AO21" s="230">
        <f>AN21/SUM($AN21+$AP21+$AR21+$AT21+$AV21)%</f>
        <v>38.290705640557206</v>
      </c>
      <c r="AP21" s="242">
        <f>Z21+AA21</f>
        <v>3392</v>
      </c>
      <c r="AQ21" s="230">
        <f>AP21/SUM($AN21+$AP21+$AR21+$AT21+$AV21)%</f>
        <v>19.365151861155514</v>
      </c>
      <c r="AR21" s="242">
        <f>AC21+AD21</f>
        <v>905</v>
      </c>
      <c r="AS21" s="230">
        <f>AR21/SUM($AN21+$AP21+$AR21+$AT21+$AV21)%</f>
        <v>5.1667047271066453</v>
      </c>
      <c r="AT21" s="177">
        <f>AF21+AG21</f>
        <v>2358</v>
      </c>
      <c r="AU21" s="230">
        <f>AT21/SUM($AN21+$AP21+$AR21+$AT21+$AV21)%</f>
        <v>13.461977620461292</v>
      </c>
      <c r="AV21" s="213">
        <f>AI21+AJ21</f>
        <v>4154</v>
      </c>
      <c r="AW21" s="230">
        <f>AV21/SUM($AN21+$AP21+$AR21+$AT21+$AV21)%</f>
        <v>23.715460150719341</v>
      </c>
      <c r="AX21" s="8"/>
      <c r="AY21" s="241">
        <f t="shared" si="6"/>
        <v>100</v>
      </c>
    </row>
    <row r="22" spans="1:51" ht="6" customHeight="1" x14ac:dyDescent="0.25">
      <c r="A22" s="31"/>
      <c r="B22" s="30"/>
      <c r="C22" s="200"/>
      <c r="D22" s="200"/>
      <c r="E22" s="297"/>
      <c r="F22" s="19"/>
      <c r="G22" s="33"/>
      <c r="H22" s="200"/>
      <c r="I22" s="8"/>
      <c r="J22" s="173"/>
      <c r="K22" s="234"/>
      <c r="L22" s="181"/>
      <c r="M22" s="230"/>
      <c r="N22" s="181"/>
      <c r="O22" s="239"/>
      <c r="P22" s="239"/>
      <c r="Q22" s="214"/>
      <c r="R22" s="181"/>
      <c r="S22" s="214"/>
      <c r="T22" s="181"/>
      <c r="U22" s="8"/>
      <c r="V22" s="173"/>
      <c r="W22" s="173"/>
      <c r="X22" s="173"/>
      <c r="Y22" s="181"/>
      <c r="Z22" s="181"/>
      <c r="AA22" s="115"/>
      <c r="AB22" s="182"/>
      <c r="AC22" s="181"/>
      <c r="AD22" s="115"/>
      <c r="AE22" s="182"/>
      <c r="AF22" s="181"/>
      <c r="AG22" s="182"/>
      <c r="AH22" s="239"/>
      <c r="AI22" s="181"/>
      <c r="AJ22" s="182"/>
      <c r="AK22" s="239"/>
      <c r="AL22" s="8"/>
      <c r="AM22" s="173"/>
      <c r="AN22" s="242"/>
      <c r="AO22" s="181"/>
      <c r="AP22" s="115"/>
      <c r="AQ22" s="181"/>
      <c r="AR22" s="115"/>
      <c r="AS22" s="181"/>
      <c r="AT22" s="175"/>
      <c r="AU22" s="181"/>
      <c r="AV22" s="175"/>
      <c r="AW22" s="181"/>
      <c r="AX22" s="8"/>
      <c r="AY22" s="8"/>
    </row>
    <row r="23" spans="1:51" ht="19.5" customHeight="1" x14ac:dyDescent="0.25">
      <c r="A23" s="211" t="s">
        <v>9</v>
      </c>
      <c r="B23" s="298">
        <f>SUM(B18:B21)</f>
        <v>14910</v>
      </c>
      <c r="C23" s="299">
        <f>SUM(C18:C22)</f>
        <v>4241</v>
      </c>
      <c r="D23" s="299">
        <f t="shared" ref="D23:G23" si="9">SUM(D18:D22)</f>
        <v>2969</v>
      </c>
      <c r="E23" s="299">
        <f t="shared" si="9"/>
        <v>1356</v>
      </c>
      <c r="F23" s="299">
        <f t="shared" si="9"/>
        <v>1920</v>
      </c>
      <c r="G23" s="299">
        <f t="shared" si="9"/>
        <v>2025</v>
      </c>
      <c r="H23" s="212">
        <f>SUM(H18:H22)</f>
        <v>2399</v>
      </c>
      <c r="I23" s="9"/>
      <c r="J23" s="206" t="s">
        <v>9</v>
      </c>
      <c r="K23" s="235">
        <f>'722 Verteilung Gden'!V37</f>
        <v>31.985584348721471</v>
      </c>
      <c r="L23" s="236">
        <f>C23/B23%</f>
        <v>28.443997317236754</v>
      </c>
      <c r="M23" s="236">
        <f>'722 Verteilung Gden'!V38</f>
        <v>17.714089582975802</v>
      </c>
      <c r="N23" s="236">
        <f>D23/$B23%</f>
        <v>19.912810194500334</v>
      </c>
      <c r="O23" s="237">
        <f>'722 Verteilung Gden'!V39</f>
        <v>9.8301012527887419</v>
      </c>
      <c r="P23" s="237">
        <f>E23/$B23%</f>
        <v>9.0945674044265594</v>
      </c>
      <c r="Q23" s="237">
        <f>'722 Verteilung Gden'!V40</f>
        <v>18.863909387334822</v>
      </c>
      <c r="R23" s="236">
        <f>F23/$B23%</f>
        <v>12.877263581488934</v>
      </c>
      <c r="S23" s="238">
        <f>'722 Verteilung Gden'!V41</f>
        <v>21.606315428179165</v>
      </c>
      <c r="T23" s="236">
        <f>G23/$B23%</f>
        <v>13.58148893360161</v>
      </c>
      <c r="U23" s="9"/>
      <c r="V23" s="206" t="s">
        <v>9</v>
      </c>
      <c r="W23" s="207">
        <f>SUM(W18:W21)</f>
        <v>25952</v>
      </c>
      <c r="X23" s="207">
        <f>SUM(X18:X22)</f>
        <v>2005</v>
      </c>
      <c r="Y23" s="236">
        <f>X23/W23%</f>
        <v>7.7258014796547476</v>
      </c>
      <c r="Z23" s="207">
        <f>SUM(Z18:Z22)</f>
        <v>14710</v>
      </c>
      <c r="AA23" s="207">
        <f>SUM(AA18:AA22)</f>
        <v>773</v>
      </c>
      <c r="AB23" s="236">
        <f>AA23/Z23%</f>
        <v>5.254928619986404</v>
      </c>
      <c r="AC23" s="207">
        <f>SUM(AC18:AC22)</f>
        <v>7892</v>
      </c>
      <c r="AD23" s="207">
        <f>SUM(AD18:AD22)</f>
        <v>700</v>
      </c>
      <c r="AE23" s="236">
        <f>AD23/AC23%</f>
        <v>8.8697415103902681</v>
      </c>
      <c r="AF23" s="207">
        <f>SUM(AF18:AF21)</f>
        <v>15926</v>
      </c>
      <c r="AG23" s="207">
        <f>SUM(AG18:AG22)</f>
        <v>562</v>
      </c>
      <c r="AH23" s="236">
        <f>AG23/AF23%</f>
        <v>3.5288207961823437</v>
      </c>
      <c r="AI23" s="207">
        <f>SUM(AI18:AI22)</f>
        <v>17622</v>
      </c>
      <c r="AJ23" s="207">
        <f>SUM(AJ18:AJ22)</f>
        <v>1263</v>
      </c>
      <c r="AK23" s="236">
        <f>AJ23/AI23%</f>
        <v>7.1671773918964927</v>
      </c>
      <c r="AL23" s="9"/>
      <c r="AM23" s="206" t="s">
        <v>9</v>
      </c>
      <c r="AN23" s="134">
        <f>SUM(AN18:AN21)</f>
        <v>27957</v>
      </c>
      <c r="AO23" s="236">
        <f>AN23/SUM($AN23+$AP23+$AR23+$AT23+$AV23)%</f>
        <v>31.985584348721471</v>
      </c>
      <c r="AP23" s="134">
        <f>SUM(AP18:AP21)</f>
        <v>15483</v>
      </c>
      <c r="AQ23" s="236">
        <f>AP23/SUM($AN23+$AP23+$AR23+$AT23+$AV23)%</f>
        <v>17.714089582975802</v>
      </c>
      <c r="AR23" s="134">
        <f>SUM(AR18:AR21)</f>
        <v>8592</v>
      </c>
      <c r="AS23" s="236">
        <f>AR23/SUM($AN23+$AR23+$AP23+$AT23+$AV23)%</f>
        <v>9.8301012527887419</v>
      </c>
      <c r="AT23" s="134">
        <f>SUM(AT18:AT21)</f>
        <v>16488</v>
      </c>
      <c r="AU23" s="236">
        <f>AT23/SUM($AN23+$AP23+$AR23+$AT23+$AV23)%</f>
        <v>18.863909387334822</v>
      </c>
      <c r="AV23" s="134">
        <f>SUM(AV18:AV21)</f>
        <v>18885</v>
      </c>
      <c r="AW23" s="236">
        <f>AV23/SUM($AN23+$AP23+$AR23+$AT23+$AV23)%</f>
        <v>21.606315428179165</v>
      </c>
      <c r="AX23" s="9"/>
      <c r="AY23" s="9"/>
    </row>
    <row r="24" spans="1:51" ht="13" x14ac:dyDescent="0.25">
      <c r="A24" s="309" t="s">
        <v>97</v>
      </c>
      <c r="B24" s="310"/>
      <c r="C24" s="311"/>
      <c r="D24" s="311"/>
      <c r="E24" s="311"/>
      <c r="F24" s="311"/>
      <c r="G24" s="311"/>
      <c r="H24" s="311"/>
      <c r="I24" s="312"/>
      <c r="J24" s="313" t="s">
        <v>97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V24" s="313" t="s">
        <v>97</v>
      </c>
      <c r="W24" s="20">
        <f>W23+X23</f>
        <v>27957</v>
      </c>
      <c r="X24" s="20"/>
      <c r="Y24" s="20"/>
      <c r="Z24" s="20">
        <f>Z23+AA23</f>
        <v>15483</v>
      </c>
      <c r="AA24" s="240"/>
      <c r="AB24" s="20"/>
      <c r="AC24" s="20">
        <f>AC23+AD23</f>
        <v>8592</v>
      </c>
      <c r="AD24" s="20"/>
      <c r="AE24" s="20"/>
      <c r="AF24" s="20">
        <f>AF23+AG23</f>
        <v>16488</v>
      </c>
      <c r="AG24" s="20"/>
      <c r="AH24" s="20"/>
      <c r="AI24" s="20">
        <f>AI23+AJ23</f>
        <v>18885</v>
      </c>
      <c r="AJ24" s="20"/>
      <c r="AK24" s="20"/>
      <c r="AM24" s="313" t="s">
        <v>97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</row>
    <row r="27" spans="1:51" x14ac:dyDescent="0.25">
      <c r="C27" s="294">
        <f>B18-H18</f>
        <v>5885</v>
      </c>
    </row>
  </sheetData>
  <mergeCells count="50">
    <mergeCell ref="W15:Y15"/>
    <mergeCell ref="Z15:AB15"/>
    <mergeCell ref="AF15:AH15"/>
    <mergeCell ref="AI15:AK15"/>
    <mergeCell ref="AN15:AO15"/>
    <mergeCell ref="AM14:AM16"/>
    <mergeCell ref="AN14:AO14"/>
    <mergeCell ref="AC15:AE15"/>
    <mergeCell ref="K15:L15"/>
    <mergeCell ref="M15:N15"/>
    <mergeCell ref="Q15:R15"/>
    <mergeCell ref="S15:T15"/>
    <mergeCell ref="V15:V16"/>
    <mergeCell ref="O15:P15"/>
    <mergeCell ref="A15:A16"/>
    <mergeCell ref="B15:B16"/>
    <mergeCell ref="C15:G15"/>
    <mergeCell ref="H15:H16"/>
    <mergeCell ref="J15:J16"/>
    <mergeCell ref="AP14:AQ14"/>
    <mergeCell ref="AT14:AU14"/>
    <mergeCell ref="AV14:AW14"/>
    <mergeCell ref="AP15:AQ15"/>
    <mergeCell ref="AT15:AU15"/>
    <mergeCell ref="AV15:AW15"/>
    <mergeCell ref="AR14:AS14"/>
    <mergeCell ref="AR15:AS15"/>
    <mergeCell ref="AP1:AQ1"/>
    <mergeCell ref="AT1:AU1"/>
    <mergeCell ref="AV1:AW1"/>
    <mergeCell ref="AM1:AM3"/>
    <mergeCell ref="AT2:AU2"/>
    <mergeCell ref="AV2:AW2"/>
    <mergeCell ref="AN1:AO1"/>
    <mergeCell ref="AN2:AO2"/>
    <mergeCell ref="AP2:AQ2"/>
    <mergeCell ref="A2:A3"/>
    <mergeCell ref="B2:B3"/>
    <mergeCell ref="C2:G2"/>
    <mergeCell ref="AI2:AK2"/>
    <mergeCell ref="V2:V3"/>
    <mergeCell ref="W2:Y2"/>
    <mergeCell ref="Z2:AB2"/>
    <mergeCell ref="AF2:AH2"/>
    <mergeCell ref="H2:H3"/>
    <mergeCell ref="J2:J3"/>
    <mergeCell ref="K2:L2"/>
    <mergeCell ref="M2:N2"/>
    <mergeCell ref="Q2:R2"/>
    <mergeCell ref="S2:T2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Y23 AB23 AH23 AP18:AP21 AO23 AP23:AQ23 AS23 AR21 AT21 AV18:AV21 AU23:AV2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AB64"/>
  <sheetViews>
    <sheetView showGridLines="0" tabSelected="1" topLeftCell="A50" zoomScale="103" zoomScaleNormal="110" workbookViewId="0">
      <selection activeCell="O49" sqref="O49"/>
    </sheetView>
  </sheetViews>
  <sheetFormatPr defaultColWidth="10.90625" defaultRowHeight="12.5" x14ac:dyDescent="0.25"/>
  <cols>
    <col min="1" max="1" width="15.36328125" customWidth="1"/>
    <col min="2" max="2" width="6.453125" bestFit="1" customWidth="1"/>
    <col min="3" max="3" width="5.90625" customWidth="1"/>
    <col min="4" max="4" width="6.453125" bestFit="1" customWidth="1"/>
    <col min="5" max="5" width="5.90625" customWidth="1"/>
    <col min="6" max="6" width="6.90625" customWidth="1"/>
    <col min="7" max="7" width="5.90625" customWidth="1"/>
    <col min="8" max="13" width="5.6328125" customWidth="1"/>
    <col min="17" max="20" width="6.54296875" customWidth="1"/>
    <col min="21" max="21" width="7.36328125" customWidth="1"/>
    <col min="22" max="28" width="6.54296875" customWidth="1"/>
  </cols>
  <sheetData>
    <row r="1" spans="1:28" x14ac:dyDescent="0.25">
      <c r="A1" s="16" t="s">
        <v>72</v>
      </c>
      <c r="F1" s="10" t="s">
        <v>86</v>
      </c>
    </row>
    <row r="2" spans="1:28" ht="18.75" customHeight="1" x14ac:dyDescent="0.25">
      <c r="A2" s="386" t="s">
        <v>58</v>
      </c>
      <c r="B2" s="415" t="s">
        <v>59</v>
      </c>
      <c r="C2" s="416"/>
      <c r="D2" s="416"/>
      <c r="E2" s="416"/>
      <c r="F2" s="416"/>
      <c r="G2" s="417"/>
      <c r="H2" s="415" t="s">
        <v>60</v>
      </c>
      <c r="I2" s="416"/>
      <c r="J2" s="416"/>
      <c r="K2" s="416"/>
      <c r="L2" s="416"/>
      <c r="M2" s="417"/>
      <c r="P2" s="75" t="s">
        <v>58</v>
      </c>
      <c r="Q2" s="415" t="s">
        <v>59</v>
      </c>
      <c r="R2" s="416"/>
      <c r="S2" s="416"/>
      <c r="T2" s="416"/>
      <c r="U2" s="416"/>
      <c r="V2" s="417"/>
      <c r="W2" s="415" t="s">
        <v>60</v>
      </c>
      <c r="X2" s="416"/>
      <c r="Y2" s="416"/>
      <c r="Z2" s="416"/>
      <c r="AA2" s="416"/>
      <c r="AB2" s="417"/>
    </row>
    <row r="3" spans="1:28" ht="18.75" customHeight="1" x14ac:dyDescent="0.25">
      <c r="A3" s="405"/>
      <c r="B3" s="382">
        <v>2012</v>
      </c>
      <c r="C3" s="383"/>
      <c r="D3" s="382">
        <v>2016</v>
      </c>
      <c r="E3" s="383"/>
      <c r="F3" s="418">
        <v>2020</v>
      </c>
      <c r="G3" s="419"/>
      <c r="H3" s="382">
        <v>2012</v>
      </c>
      <c r="I3" s="383"/>
      <c r="J3" s="382">
        <v>2016</v>
      </c>
      <c r="K3" s="383"/>
      <c r="L3" s="418">
        <v>2020</v>
      </c>
      <c r="M3" s="419"/>
      <c r="P3" s="25"/>
      <c r="Q3" s="382">
        <v>2012</v>
      </c>
      <c r="R3" s="383"/>
      <c r="S3" s="382">
        <v>2016</v>
      </c>
      <c r="T3" s="383"/>
      <c r="U3" s="418">
        <v>2020</v>
      </c>
      <c r="V3" s="419"/>
      <c r="W3" s="382">
        <f>Q3</f>
        <v>2012</v>
      </c>
      <c r="X3" s="383"/>
      <c r="Y3" s="382">
        <f>S3</f>
        <v>2016</v>
      </c>
      <c r="Z3" s="383"/>
      <c r="AA3" s="418">
        <f>U3</f>
        <v>2020</v>
      </c>
      <c r="AB3" s="419"/>
    </row>
    <row r="4" spans="1:28" ht="18.75" customHeight="1" x14ac:dyDescent="0.25">
      <c r="A4" s="387"/>
      <c r="B4" s="199" t="s">
        <v>46</v>
      </c>
      <c r="C4" s="208" t="s">
        <v>47</v>
      </c>
      <c r="D4" s="199" t="s">
        <v>46</v>
      </c>
      <c r="E4" s="199" t="s">
        <v>47</v>
      </c>
      <c r="F4" s="215" t="s">
        <v>46</v>
      </c>
      <c r="G4" s="215" t="s">
        <v>47</v>
      </c>
      <c r="H4" s="199" t="s">
        <v>46</v>
      </c>
      <c r="I4" s="208" t="s">
        <v>47</v>
      </c>
      <c r="J4" s="199" t="s">
        <v>46</v>
      </c>
      <c r="K4" s="199" t="s">
        <v>47</v>
      </c>
      <c r="L4" s="216" t="s">
        <v>46</v>
      </c>
      <c r="M4" s="216" t="s">
        <v>47</v>
      </c>
      <c r="P4" s="56"/>
      <c r="Q4" s="171" t="s">
        <v>46</v>
      </c>
      <c r="R4" s="22" t="s">
        <v>47</v>
      </c>
      <c r="S4" s="171" t="s">
        <v>46</v>
      </c>
      <c r="T4" s="22" t="s">
        <v>47</v>
      </c>
      <c r="U4" s="21" t="s">
        <v>46</v>
      </c>
      <c r="V4" s="21" t="s">
        <v>47</v>
      </c>
      <c r="W4" s="171" t="s">
        <v>46</v>
      </c>
      <c r="X4" s="22" t="s">
        <v>47</v>
      </c>
      <c r="Y4" s="171" t="s">
        <v>46</v>
      </c>
      <c r="Z4" s="22" t="s">
        <v>47</v>
      </c>
      <c r="AA4" s="21" t="s">
        <v>46</v>
      </c>
      <c r="AB4" s="21" t="s">
        <v>47</v>
      </c>
    </row>
    <row r="5" spans="1:28" ht="4.5" customHeight="1" x14ac:dyDescent="0.25">
      <c r="A5" s="24"/>
      <c r="B5" s="200"/>
      <c r="C5" s="19"/>
      <c r="D5" s="200"/>
      <c r="E5" s="33"/>
      <c r="F5" s="217"/>
      <c r="G5" s="215"/>
      <c r="H5" s="35"/>
      <c r="I5" s="19"/>
      <c r="J5" s="200"/>
      <c r="K5" s="200"/>
      <c r="L5" s="34"/>
      <c r="M5" s="34"/>
      <c r="P5" s="24"/>
      <c r="Q5" s="172"/>
      <c r="R5" s="27"/>
      <c r="S5" s="172"/>
      <c r="T5" s="28"/>
      <c r="U5" s="26"/>
      <c r="V5" s="26"/>
      <c r="W5" s="172"/>
      <c r="X5" s="27"/>
      <c r="Y5" s="172"/>
      <c r="Z5" s="28"/>
      <c r="AA5" s="26"/>
      <c r="AB5" s="26"/>
    </row>
    <row r="6" spans="1:28" ht="13" x14ac:dyDescent="0.25">
      <c r="A6" s="24" t="s">
        <v>1</v>
      </c>
      <c r="B6" s="102"/>
      <c r="C6" s="218"/>
      <c r="D6" s="102"/>
      <c r="E6" s="224"/>
      <c r="F6" s="219"/>
      <c r="G6" s="220"/>
      <c r="H6" s="221"/>
      <c r="I6" s="222"/>
      <c r="J6" s="102"/>
      <c r="K6" s="81"/>
      <c r="L6" s="32"/>
      <c r="M6" s="220"/>
      <c r="P6" s="31" t="s">
        <v>18</v>
      </c>
      <c r="Q6" s="102">
        <f>SUMIF($A$7:$A$25,P6,B$7:B$25)</f>
        <v>26311</v>
      </c>
      <c r="R6" s="222">
        <f>Q6/SUM(Q$6:Q$9)%</f>
        <v>34.606531718160177</v>
      </c>
      <c r="S6" s="102">
        <f>SUMIF($A$7:$A$25,$P6,D$7:D$25)</f>
        <v>29070</v>
      </c>
      <c r="T6" s="222">
        <f>S6/SUM(S$6:S$9)%</f>
        <v>30.666174376285667</v>
      </c>
      <c r="U6" s="32">
        <f>SUMIF($A$7:$A$25,$P6,F$7:F$25)</f>
        <v>21396</v>
      </c>
      <c r="V6" s="220">
        <f>U6/SUM(U$6:U$9)%</f>
        <v>30.708729224674915</v>
      </c>
      <c r="W6" s="102">
        <f>SUMIF($A$7:$A$25,$P6,H$7:H$25)</f>
        <v>13</v>
      </c>
      <c r="X6" s="222">
        <f>W6/SUM(W$6:W$9)%</f>
        <v>35.135135135135137</v>
      </c>
      <c r="Y6" s="102">
        <f>SUMIF($A$7:$A$25,$P6,J$7:J$25)</f>
        <v>12</v>
      </c>
      <c r="Z6" s="222">
        <f>Y6/SUM(Y$6:Y$9)%</f>
        <v>32.432432432432435</v>
      </c>
      <c r="AA6" s="32">
        <f>SUMIF($A$7:$A$25,$P6,L$7:L$25)</f>
        <v>12</v>
      </c>
      <c r="AB6" s="220">
        <f>AA6/SUM(AA$6:AA$9)%</f>
        <v>32.432432432432435</v>
      </c>
    </row>
    <row r="7" spans="1:28" ht="12.75" customHeight="1" x14ac:dyDescent="0.25">
      <c r="A7" s="31" t="s">
        <v>18</v>
      </c>
      <c r="B7" s="102">
        <v>15560</v>
      </c>
      <c r="C7" s="222">
        <v>34.94273523467325</v>
      </c>
      <c r="D7" s="102">
        <v>16586</v>
      </c>
      <c r="E7" s="224">
        <v>30.689240447774999</v>
      </c>
      <c r="F7" s="223">
        <v>11471</v>
      </c>
      <c r="G7" s="220">
        <f>F7/SUM(F$7:F$10)%</f>
        <v>28.430157628630909</v>
      </c>
      <c r="H7" s="221">
        <v>5</v>
      </c>
      <c r="I7" s="222">
        <v>33.333333333333336</v>
      </c>
      <c r="J7" s="102">
        <v>5</v>
      </c>
      <c r="K7" s="81">
        <v>33.333333333333336</v>
      </c>
      <c r="L7" s="32">
        <v>5</v>
      </c>
      <c r="M7" s="220">
        <f>L7/SUM(L$7:L$10)%</f>
        <v>33.333333333333336</v>
      </c>
      <c r="P7" s="31" t="s">
        <v>19</v>
      </c>
      <c r="Q7" s="102">
        <f>SUMIF($A$7:$A$25,P7,B$7:B$25)</f>
        <v>15115</v>
      </c>
      <c r="R7" s="222">
        <f>Q7/SUM(Q$6:Q$9)%</f>
        <v>19.880571887043104</v>
      </c>
      <c r="S7" s="102">
        <f>SUMIF($A$7:$A$25,$P7,D$7:D$25)</f>
        <v>19065</v>
      </c>
      <c r="T7" s="222">
        <f t="shared" ref="T7:V9" si="0">S7/SUM(S$6:S$9)%</f>
        <v>20.111820243683738</v>
      </c>
      <c r="U7" s="32">
        <f>SUMIF($A$7:$A$25,$P7,F$7:F$25)</f>
        <v>14687</v>
      </c>
      <c r="V7" s="220">
        <f t="shared" si="0"/>
        <v>21.079599276631168</v>
      </c>
      <c r="W7" s="102">
        <f>SUMIF($A$7:$A$25,$P7,H$7:H$25)</f>
        <v>6</v>
      </c>
      <c r="X7" s="222">
        <f>W7/SUM(W$6:W$9)%</f>
        <v>16.216216216216218</v>
      </c>
      <c r="Y7" s="102">
        <f>SUMIF($A$7:$A$25,$P7,J$7:J$25)</f>
        <v>7</v>
      </c>
      <c r="Z7" s="222">
        <f>Y7/SUM(Y$6:Y$9)%</f>
        <v>18.918918918918919</v>
      </c>
      <c r="AA7" s="32">
        <f>SUMIF($A$7:$A$25,$P7,L$7:L$25)</f>
        <v>7</v>
      </c>
      <c r="AB7" s="220">
        <f>AA7/SUM(AA$6:AA$9)%</f>
        <v>18.918918918918919</v>
      </c>
    </row>
    <row r="8" spans="1:28" ht="12.75" customHeight="1" x14ac:dyDescent="0.25">
      <c r="A8" s="31" t="s">
        <v>19</v>
      </c>
      <c r="B8" s="102">
        <v>10392</v>
      </c>
      <c r="C8" s="222">
        <v>23.337076128452729</v>
      </c>
      <c r="D8" s="102">
        <v>11434</v>
      </c>
      <c r="E8" s="224">
        <v>21.156443704320473</v>
      </c>
      <c r="F8" s="223">
        <v>9213</v>
      </c>
      <c r="G8" s="220">
        <f>F8/SUM(F$7:F$10)%</f>
        <v>22.833845543769208</v>
      </c>
      <c r="H8" s="221">
        <v>3</v>
      </c>
      <c r="I8" s="222">
        <v>20</v>
      </c>
      <c r="J8" s="102">
        <v>3</v>
      </c>
      <c r="K8" s="81">
        <v>20</v>
      </c>
      <c r="L8" s="32">
        <v>3</v>
      </c>
      <c r="M8" s="220">
        <f>L8/SUM(L$7:L$10)%</f>
        <v>20</v>
      </c>
      <c r="P8" s="31" t="s">
        <v>49</v>
      </c>
      <c r="Q8" s="102">
        <f>SUMIF($A$7:$A$25,P8,B$7:B$25)</f>
        <v>17224</v>
      </c>
      <c r="R8" s="222">
        <f>Q8/SUM(Q$6:Q$9)%</f>
        <v>22.654513409356959</v>
      </c>
      <c r="S8" s="102">
        <f>SUMIF($A$7:$A$25,$P8,D$7:D$25)</f>
        <v>22578</v>
      </c>
      <c r="T8" s="222">
        <f t="shared" si="0"/>
        <v>23.817711904636319</v>
      </c>
      <c r="U8" s="32">
        <f>SUMIF($A$7:$A$25,$P8,F$7:F$25)</f>
        <v>17819</v>
      </c>
      <c r="V8" s="220">
        <f t="shared" si="0"/>
        <v>25.574819875419813</v>
      </c>
      <c r="W8" s="102">
        <f>SUMIF($A$7:$A$25,$P8,H$7:H$25)</f>
        <v>9</v>
      </c>
      <c r="X8" s="222">
        <f>W8/SUM(W$6:W$9)%</f>
        <v>24.324324324324326</v>
      </c>
      <c r="Y8" s="102">
        <f>SUMIF($A$7:$A$25,$P8,J$7:J$25)</f>
        <v>8</v>
      </c>
      <c r="Z8" s="222">
        <f>Y8/SUM(Y$6:Y$9)%</f>
        <v>21.621621621621621</v>
      </c>
      <c r="AA8" s="32">
        <f>SUMIF($A$7:$A$25,$P8,L$7:L$25)</f>
        <v>9</v>
      </c>
      <c r="AB8" s="220">
        <f>AA8/SUM(AA$6:AA$9)%</f>
        <v>24.324324324324326</v>
      </c>
    </row>
    <row r="9" spans="1:28" ht="12.75" customHeight="1" x14ac:dyDescent="0.25">
      <c r="A9" s="31" t="s">
        <v>49</v>
      </c>
      <c r="B9" s="102">
        <v>10534</v>
      </c>
      <c r="C9" s="222">
        <v>23.655962272625196</v>
      </c>
      <c r="D9" s="102">
        <v>14462</v>
      </c>
      <c r="E9" s="224">
        <v>26.759182163012301</v>
      </c>
      <c r="F9" s="223">
        <v>11908</v>
      </c>
      <c r="G9" s="220">
        <f>F9/SUM(F$7:F$10)%</f>
        <v>29.513234856746305</v>
      </c>
      <c r="H9" s="221">
        <v>4</v>
      </c>
      <c r="I9" s="222">
        <v>26.666666666666668</v>
      </c>
      <c r="J9" s="102">
        <v>4</v>
      </c>
      <c r="K9" s="81">
        <v>26.666666666666668</v>
      </c>
      <c r="L9" s="32">
        <v>4</v>
      </c>
      <c r="M9" s="220">
        <f>L9/SUM(L$7:L$10)%</f>
        <v>26.666666666666668</v>
      </c>
      <c r="P9" s="31" t="s">
        <v>21</v>
      </c>
      <c r="Q9" s="102">
        <f>SUMIF($A$7:$A$25,P9,B$7:B$25)</f>
        <v>17379</v>
      </c>
      <c r="R9" s="222">
        <f>Q9/SUM(Q$6:Q$9)%</f>
        <v>22.858382985439768</v>
      </c>
      <c r="S9" s="102">
        <f>SUMIF($A$7:$A$25,$P9,D$7:D$25)</f>
        <v>24082</v>
      </c>
      <c r="T9" s="222">
        <f t="shared" si="0"/>
        <v>25.404293475394272</v>
      </c>
      <c r="U9" s="32">
        <f>SUMIF($A$7:$A$25,$P9,F$7:F$25)</f>
        <v>15772</v>
      </c>
      <c r="V9" s="220">
        <f t="shared" si="0"/>
        <v>22.636851623274104</v>
      </c>
      <c r="W9" s="102">
        <f>SUMIF($A$7:$A$25,$P9,H$7:H$25)</f>
        <v>9</v>
      </c>
      <c r="X9" s="222">
        <f>W9/SUM(W$6:W$9)%</f>
        <v>24.324324324324326</v>
      </c>
      <c r="Y9" s="102">
        <f>SUMIF($A$7:$A$25,$P9,J$7:J$25)</f>
        <v>10</v>
      </c>
      <c r="Z9" s="222">
        <f>Y9/SUM(Y$6:Y$9)%</f>
        <v>27.027027027027028</v>
      </c>
      <c r="AA9" s="32">
        <f>SUMIF($A$7:$A$25,$P9,L$7:L$25)</f>
        <v>9</v>
      </c>
      <c r="AB9" s="220">
        <f>AA9/SUM(AA$6:AA$9)%</f>
        <v>24.324324324324326</v>
      </c>
    </row>
    <row r="10" spans="1:28" ht="12.75" customHeight="1" x14ac:dyDescent="0.25">
      <c r="A10" s="31" t="s">
        <v>21</v>
      </c>
      <c r="B10" s="102">
        <v>8044</v>
      </c>
      <c r="C10" s="222">
        <v>18.064226364248821</v>
      </c>
      <c r="D10" s="102">
        <v>11563</v>
      </c>
      <c r="E10" s="224">
        <v>21.395133684892219</v>
      </c>
      <c r="F10" s="223">
        <v>7756</v>
      </c>
      <c r="G10" s="220">
        <f>F10/SUM(F$7:F$10)%</f>
        <v>19.222761970853572</v>
      </c>
      <c r="H10" s="221">
        <v>3</v>
      </c>
      <c r="I10" s="222">
        <v>20</v>
      </c>
      <c r="J10" s="102">
        <v>3</v>
      </c>
      <c r="K10" s="81">
        <v>20</v>
      </c>
      <c r="L10" s="32">
        <v>3</v>
      </c>
      <c r="M10" s="220">
        <f>L10/SUM(L$7:L$10)%</f>
        <v>20</v>
      </c>
      <c r="P10" s="31"/>
      <c r="Q10" s="200"/>
      <c r="R10" s="33"/>
      <c r="S10" s="200"/>
      <c r="T10" s="19"/>
      <c r="U10" s="34"/>
      <c r="V10" s="34"/>
      <c r="W10" s="200"/>
      <c r="X10" s="224"/>
      <c r="Y10" s="200"/>
      <c r="Z10" s="19"/>
      <c r="AA10" s="34"/>
      <c r="AB10" s="34"/>
    </row>
    <row r="11" spans="1:28" ht="12.75" customHeight="1" x14ac:dyDescent="0.25">
      <c r="A11" s="24" t="s">
        <v>3</v>
      </c>
      <c r="B11" s="102"/>
      <c r="C11" s="222"/>
      <c r="D11" s="102"/>
      <c r="E11" s="224"/>
      <c r="F11" s="223"/>
      <c r="G11" s="220"/>
      <c r="H11" s="221"/>
      <c r="I11" s="222"/>
      <c r="J11" s="102"/>
      <c r="K11" s="81"/>
      <c r="L11" s="32"/>
      <c r="M11" s="220"/>
      <c r="P11" s="225" t="s">
        <v>9</v>
      </c>
      <c r="Q11" s="226">
        <f>SUM(Q6:Q10)</f>
        <v>76029</v>
      </c>
      <c r="R11" s="226"/>
      <c r="S11" s="226">
        <f>SUM(S6:S10)</f>
        <v>94795</v>
      </c>
      <c r="T11" s="226"/>
      <c r="U11" s="212">
        <f>SUM(U6:U10)</f>
        <v>69674</v>
      </c>
      <c r="V11" s="212"/>
      <c r="W11" s="226">
        <f>SUM(W6:W10)</f>
        <v>37</v>
      </c>
      <c r="X11" s="226"/>
      <c r="Y11" s="226">
        <f>SUM(Y6:Y10)</f>
        <v>37</v>
      </c>
      <c r="Z11" s="226"/>
      <c r="AA11" s="212">
        <f>SUM(AA6:AA10)</f>
        <v>37</v>
      </c>
      <c r="AB11" s="212"/>
    </row>
    <row r="12" spans="1:28" ht="12.75" customHeight="1" x14ac:dyDescent="0.25">
      <c r="A12" s="31" t="s">
        <v>18</v>
      </c>
      <c r="B12" s="102">
        <v>3562</v>
      </c>
      <c r="C12" s="222">
        <v>36.559581237811763</v>
      </c>
      <c r="D12" s="102">
        <v>3567</v>
      </c>
      <c r="E12" s="224">
        <v>29.016513462946392</v>
      </c>
      <c r="F12" s="223">
        <v>2822</v>
      </c>
      <c r="G12" s="220">
        <f>F12/SUM(F$12:F$15)%</f>
        <v>31.565995525727068</v>
      </c>
      <c r="H12" s="221">
        <v>3</v>
      </c>
      <c r="I12" s="222">
        <v>42.857142857142854</v>
      </c>
      <c r="J12" s="102">
        <v>2</v>
      </c>
      <c r="K12" s="81">
        <v>28.571428571428569</v>
      </c>
      <c r="L12" s="32">
        <v>2</v>
      </c>
      <c r="M12" s="220">
        <f>L12/SUM(L$12:L$15)%</f>
        <v>28.571428571428569</v>
      </c>
    </row>
    <row r="13" spans="1:28" ht="12.75" customHeight="1" x14ac:dyDescent="0.25">
      <c r="A13" s="31" t="s">
        <v>19</v>
      </c>
      <c r="B13" s="102">
        <v>1156</v>
      </c>
      <c r="C13" s="222">
        <v>11.864928666735091</v>
      </c>
      <c r="D13" s="102">
        <v>2272</v>
      </c>
      <c r="E13" s="224">
        <v>18.482062962661676</v>
      </c>
      <c r="F13" s="223">
        <v>1567</v>
      </c>
      <c r="G13" s="220">
        <f>F13/SUM(F$12:F$15)%</f>
        <v>17.527964205816552</v>
      </c>
      <c r="H13" s="221">
        <v>1</v>
      </c>
      <c r="I13" s="222">
        <v>14.285714285714285</v>
      </c>
      <c r="J13" s="102">
        <v>1</v>
      </c>
      <c r="K13" s="81">
        <v>14.285714285714285</v>
      </c>
      <c r="L13" s="32">
        <v>1</v>
      </c>
      <c r="M13" s="220">
        <f>L13/SUM(L$12:L$15)%</f>
        <v>14.285714285714285</v>
      </c>
    </row>
    <row r="14" spans="1:28" ht="12.75" customHeight="1" x14ac:dyDescent="0.25">
      <c r="A14" s="31" t="s">
        <v>49</v>
      </c>
      <c r="B14" s="102">
        <v>1948</v>
      </c>
      <c r="C14" s="222">
        <v>19.993841732525915</v>
      </c>
      <c r="D14" s="102">
        <v>2465</v>
      </c>
      <c r="E14" s="224">
        <v>20.052062149190593</v>
      </c>
      <c r="F14" s="223">
        <v>1606</v>
      </c>
      <c r="G14" s="220">
        <f>F14/SUM(F$12:F$15)%</f>
        <v>17.964205816554809</v>
      </c>
      <c r="H14" s="221">
        <v>1</v>
      </c>
      <c r="I14" s="222">
        <v>14.285714285714285</v>
      </c>
      <c r="J14" s="102">
        <v>1</v>
      </c>
      <c r="K14" s="81">
        <v>14.285714285714285</v>
      </c>
      <c r="L14" s="32">
        <v>1</v>
      </c>
      <c r="M14" s="220">
        <f>L14/SUM(L$12:L$15)%</f>
        <v>14.285714285714285</v>
      </c>
    </row>
    <row r="15" spans="1:28" ht="12.75" customHeight="1" x14ac:dyDescent="0.25">
      <c r="A15" s="31" t="s">
        <v>21</v>
      </c>
      <c r="B15" s="102">
        <v>3077</v>
      </c>
      <c r="C15" s="222">
        <v>31.581648362927229</v>
      </c>
      <c r="D15" s="102">
        <v>3989</v>
      </c>
      <c r="E15" s="224">
        <v>32.449361425201332</v>
      </c>
      <c r="F15" s="223">
        <v>2945</v>
      </c>
      <c r="G15" s="220">
        <f>F15/SUM(F$12:F$15)%</f>
        <v>32.941834451901563</v>
      </c>
      <c r="H15" s="221">
        <v>2</v>
      </c>
      <c r="I15" s="222">
        <v>28.571428571428569</v>
      </c>
      <c r="J15" s="102">
        <v>3</v>
      </c>
      <c r="K15" s="81">
        <v>42.857142857142854</v>
      </c>
      <c r="L15" s="32">
        <v>3</v>
      </c>
      <c r="M15" s="220">
        <f>L15/SUM(L$12:L$15)%</f>
        <v>42.857142857142854</v>
      </c>
    </row>
    <row r="16" spans="1:28" ht="12.75" customHeight="1" x14ac:dyDescent="0.25">
      <c r="A16" s="24" t="s">
        <v>4</v>
      </c>
      <c r="B16" s="102"/>
      <c r="C16" s="222"/>
      <c r="D16" s="102"/>
      <c r="E16" s="224"/>
      <c r="F16" s="223"/>
      <c r="G16" s="220"/>
      <c r="H16" s="221"/>
      <c r="I16" s="222"/>
      <c r="J16" s="102"/>
      <c r="K16" s="81"/>
      <c r="L16" s="32"/>
      <c r="M16" s="220"/>
      <c r="P16" s="11"/>
    </row>
    <row r="17" spans="1:17" ht="12.75" customHeight="1" x14ac:dyDescent="0.25">
      <c r="A17" s="31" t="s">
        <v>18</v>
      </c>
      <c r="B17" s="102">
        <v>2106</v>
      </c>
      <c r="C17" s="222">
        <v>30.072825931743537</v>
      </c>
      <c r="D17" s="102">
        <v>2630</v>
      </c>
      <c r="E17" s="224">
        <v>30.160550458715594</v>
      </c>
      <c r="F17" s="223">
        <v>2309</v>
      </c>
      <c r="G17" s="220">
        <f>F17/SUM(F$17:F$20)%</f>
        <v>35.343639981631718</v>
      </c>
      <c r="H17" s="221">
        <v>2</v>
      </c>
      <c r="I17" s="222">
        <v>33.333333333333336</v>
      </c>
      <c r="J17" s="102">
        <v>2</v>
      </c>
      <c r="K17" s="81">
        <v>33.333333333333336</v>
      </c>
      <c r="L17" s="32">
        <v>2</v>
      </c>
      <c r="M17" s="220">
        <f>L17/SUM(L$17:L$20)%</f>
        <v>33.333333333333336</v>
      </c>
    </row>
    <row r="18" spans="1:17" ht="12.75" customHeight="1" x14ac:dyDescent="0.25">
      <c r="A18" s="31" t="s">
        <v>19</v>
      </c>
      <c r="B18" s="102">
        <v>1214</v>
      </c>
      <c r="C18" s="222">
        <v>17.335427673854063</v>
      </c>
      <c r="D18" s="102">
        <v>1425</v>
      </c>
      <c r="E18" s="224">
        <v>16.341743119266056</v>
      </c>
      <c r="F18" s="223">
        <v>946</v>
      </c>
      <c r="G18" s="220">
        <f>F18/SUM(F$17:F$20)%</f>
        <v>14.48033062911373</v>
      </c>
      <c r="H18" s="221">
        <v>1</v>
      </c>
      <c r="I18" s="222">
        <v>16.666666666666668</v>
      </c>
      <c r="J18" s="102">
        <v>1</v>
      </c>
      <c r="K18" s="81">
        <v>16.666666666666668</v>
      </c>
      <c r="L18" s="32">
        <v>1</v>
      </c>
      <c r="M18" s="220">
        <f>L18/SUM(L$17:L$20)%</f>
        <v>16.666666666666668</v>
      </c>
    </row>
    <row r="19" spans="1:17" ht="12.75" customHeight="1" x14ac:dyDescent="0.25">
      <c r="A19" s="31" t="s">
        <v>49</v>
      </c>
      <c r="B19" s="102">
        <v>2110</v>
      </c>
      <c r="C19" s="222">
        <v>30.129944309581607</v>
      </c>
      <c r="D19" s="102">
        <v>2342</v>
      </c>
      <c r="E19" s="224">
        <v>26.857798165137613</v>
      </c>
      <c r="F19" s="223">
        <v>1705</v>
      </c>
      <c r="G19" s="220">
        <f>F19/SUM(F$17:F$20)%</f>
        <v>26.098270319914281</v>
      </c>
      <c r="H19" s="221">
        <v>2</v>
      </c>
      <c r="I19" s="222">
        <v>33.333333333333336</v>
      </c>
      <c r="J19" s="102">
        <v>2</v>
      </c>
      <c r="K19" s="81">
        <v>33.333333333333336</v>
      </c>
      <c r="L19" s="32">
        <v>2</v>
      </c>
      <c r="M19" s="220">
        <f>L19/SUM(L$17:L$20)%</f>
        <v>33.333333333333336</v>
      </c>
      <c r="P19" s="11"/>
    </row>
    <row r="20" spans="1:17" ht="12.75" customHeight="1" x14ac:dyDescent="0.25">
      <c r="A20" s="31" t="s">
        <v>21</v>
      </c>
      <c r="B20" s="102">
        <v>1573</v>
      </c>
      <c r="C20" s="222">
        <v>22.461802084820789</v>
      </c>
      <c r="D20" s="102">
        <v>2323</v>
      </c>
      <c r="E20" s="224">
        <v>26.639908256880734</v>
      </c>
      <c r="F20" s="223">
        <v>1573</v>
      </c>
      <c r="G20" s="220">
        <f>F20/SUM(F$17:F$20)%</f>
        <v>24.077759069340274</v>
      </c>
      <c r="H20" s="221">
        <v>1</v>
      </c>
      <c r="I20" s="222">
        <v>16.666666666666668</v>
      </c>
      <c r="J20" s="102">
        <v>1</v>
      </c>
      <c r="K20" s="81">
        <v>16.666666666666668</v>
      </c>
      <c r="L20" s="32">
        <v>1</v>
      </c>
      <c r="M20" s="220">
        <f>L20/SUM(L$17:L$20)%</f>
        <v>16.666666666666668</v>
      </c>
      <c r="Q20" s="11"/>
    </row>
    <row r="21" spans="1:17" ht="12.75" customHeight="1" x14ac:dyDescent="0.25">
      <c r="A21" s="24" t="s">
        <v>6</v>
      </c>
      <c r="B21" s="102"/>
      <c r="C21" s="222"/>
      <c r="D21" s="102"/>
      <c r="E21" s="224"/>
      <c r="F21" s="223"/>
      <c r="G21" s="220"/>
      <c r="H21" s="221"/>
      <c r="I21" s="222"/>
      <c r="J21" s="102"/>
      <c r="K21" s="81"/>
      <c r="L21" s="32"/>
      <c r="M21" s="220"/>
    </row>
    <row r="22" spans="1:17" ht="12.75" customHeight="1" x14ac:dyDescent="0.25">
      <c r="A22" s="31" t="s">
        <v>18</v>
      </c>
      <c r="B22" s="102">
        <v>5083</v>
      </c>
      <c r="C22" s="222">
        <v>34.454009354029687</v>
      </c>
      <c r="D22" s="102">
        <v>6287</v>
      </c>
      <c r="E22" s="224">
        <v>31.853878502305314</v>
      </c>
      <c r="F22" s="223">
        <v>4794</v>
      </c>
      <c r="G22" s="220">
        <f>F22/SUM(F$22:F$25)%</f>
        <v>34.606222478885442</v>
      </c>
      <c r="H22" s="221">
        <v>3</v>
      </c>
      <c r="I22" s="222">
        <v>33.333333333333336</v>
      </c>
      <c r="J22" s="102">
        <v>3</v>
      </c>
      <c r="K22" s="81">
        <v>33.333333333333336</v>
      </c>
      <c r="L22" s="32">
        <v>3</v>
      </c>
      <c r="M22" s="220">
        <f>L22/SUM(L$22:L$25)%</f>
        <v>33.333333333333336</v>
      </c>
    </row>
    <row r="23" spans="1:17" ht="12.75" customHeight="1" x14ac:dyDescent="0.25">
      <c r="A23" s="31" t="s">
        <v>19</v>
      </c>
      <c r="B23" s="102">
        <v>2353</v>
      </c>
      <c r="C23" s="222">
        <v>15.949298447773334</v>
      </c>
      <c r="D23" s="102">
        <v>3934</v>
      </c>
      <c r="E23" s="224">
        <v>19.932107209808986</v>
      </c>
      <c r="F23" s="223">
        <v>2961</v>
      </c>
      <c r="G23" s="220">
        <f>F23/SUM(F$22:F$25)%</f>
        <v>21.374431531076301</v>
      </c>
      <c r="H23" s="221">
        <v>1</v>
      </c>
      <c r="I23" s="222">
        <v>11.111111111111111</v>
      </c>
      <c r="J23" s="102">
        <v>2</v>
      </c>
      <c r="K23" s="81">
        <v>22.222222222222221</v>
      </c>
      <c r="L23" s="32">
        <v>2</v>
      </c>
      <c r="M23" s="220">
        <f>L23/SUM(L$22:L$25)%</f>
        <v>22.222222222222221</v>
      </c>
    </row>
    <row r="24" spans="1:17" ht="12.75" customHeight="1" x14ac:dyDescent="0.25">
      <c r="A24" s="31" t="s">
        <v>49</v>
      </c>
      <c r="B24" s="102">
        <v>2632</v>
      </c>
      <c r="C24" s="222">
        <v>17.840439232698433</v>
      </c>
      <c r="D24" s="102">
        <v>3309</v>
      </c>
      <c r="E24" s="224">
        <v>16.765465876272991</v>
      </c>
      <c r="F24" s="223">
        <v>2600</v>
      </c>
      <c r="G24" s="220">
        <f>F24/SUM(F$22:F$25)%</f>
        <v>18.768497798310836</v>
      </c>
      <c r="H24" s="221">
        <v>2</v>
      </c>
      <c r="I24" s="222">
        <v>22.222222222222221</v>
      </c>
      <c r="J24" s="102">
        <v>1</v>
      </c>
      <c r="K24" s="81">
        <v>11.111111111111111</v>
      </c>
      <c r="L24" s="32">
        <v>2</v>
      </c>
      <c r="M24" s="220">
        <f>L24/SUM(L$22:L$25)%</f>
        <v>22.222222222222221</v>
      </c>
    </row>
    <row r="25" spans="1:17" ht="12.75" customHeight="1" x14ac:dyDescent="0.25">
      <c r="A25" s="31" t="s">
        <v>21</v>
      </c>
      <c r="B25" s="102">
        <v>4685</v>
      </c>
      <c r="C25" s="222">
        <v>31.756252965498543</v>
      </c>
      <c r="D25" s="102">
        <v>6207</v>
      </c>
      <c r="E25" s="224">
        <v>31.448548411612705</v>
      </c>
      <c r="F25" s="223">
        <v>3498</v>
      </c>
      <c r="G25" s="220">
        <f>F25/SUM(F$22:F$25)%</f>
        <v>25.250848191727425</v>
      </c>
      <c r="H25" s="221">
        <v>3</v>
      </c>
      <c r="I25" s="222">
        <v>33.333333333333336</v>
      </c>
      <c r="J25" s="102">
        <v>3</v>
      </c>
      <c r="K25" s="81">
        <v>33.333333333333336</v>
      </c>
      <c r="L25" s="32">
        <v>2</v>
      </c>
      <c r="M25" s="220">
        <f>L25/SUM(L$22:L$25)%</f>
        <v>22.222222222222221</v>
      </c>
    </row>
    <row r="26" spans="1:17" ht="12.75" customHeight="1" x14ac:dyDescent="0.25">
      <c r="A26" s="31"/>
      <c r="B26" s="200"/>
      <c r="C26" s="19"/>
      <c r="D26" s="200"/>
      <c r="E26" s="33"/>
      <c r="F26" s="34"/>
      <c r="G26" s="34"/>
      <c r="H26" s="35"/>
      <c r="I26" s="19"/>
      <c r="J26" s="200"/>
      <c r="K26" s="200"/>
      <c r="L26" s="34"/>
      <c r="M26" s="34"/>
    </row>
    <row r="27" spans="1:17" ht="12.75" customHeight="1" x14ac:dyDescent="0.25">
      <c r="A27" s="55" t="s">
        <v>9</v>
      </c>
      <c r="B27" s="289">
        <v>76029</v>
      </c>
      <c r="C27" s="58"/>
      <c r="D27" s="300">
        <v>94795</v>
      </c>
      <c r="E27" s="301"/>
      <c r="F27" s="304">
        <f>SUM(F6:F26)</f>
        <v>69674</v>
      </c>
      <c r="G27" s="57"/>
      <c r="H27" s="59">
        <f>SUM(H6:H26)</f>
        <v>37</v>
      </c>
      <c r="I27" s="58"/>
      <c r="J27" s="289">
        <f>SUM(J6:J26)</f>
        <v>37</v>
      </c>
      <c r="K27" s="289"/>
      <c r="L27" s="57">
        <f>SUM(L6:L26)</f>
        <v>37</v>
      </c>
      <c r="M27" s="57"/>
    </row>
    <row r="28" spans="1:1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7" ht="12.75" customHeight="1" x14ac:dyDescent="0.25"/>
    <row r="30" spans="1:17" ht="12.75" customHeight="1" x14ac:dyDescent="0.25"/>
    <row r="31" spans="1:17" ht="12.75" customHeight="1" x14ac:dyDescent="0.25"/>
    <row r="32" spans="1:17" ht="12.75" customHeight="1" x14ac:dyDescent="0.25">
      <c r="A32" s="16" t="s">
        <v>72</v>
      </c>
      <c r="F32" s="10" t="s">
        <v>95</v>
      </c>
    </row>
    <row r="33" spans="1:28" ht="18.75" customHeight="1" x14ac:dyDescent="0.25">
      <c r="A33" s="386" t="s">
        <v>58</v>
      </c>
      <c r="B33" s="415" t="s">
        <v>59</v>
      </c>
      <c r="C33" s="416"/>
      <c r="D33" s="416"/>
      <c r="E33" s="416"/>
      <c r="F33" s="416"/>
      <c r="G33" s="417"/>
      <c r="H33" s="415" t="s">
        <v>60</v>
      </c>
      <c r="I33" s="416"/>
      <c r="J33" s="416"/>
      <c r="K33" s="416"/>
      <c r="L33" s="416"/>
      <c r="M33" s="417"/>
      <c r="P33" s="75" t="s">
        <v>58</v>
      </c>
      <c r="Q33" s="415" t="s">
        <v>59</v>
      </c>
      <c r="R33" s="416"/>
      <c r="S33" s="416"/>
      <c r="T33" s="416"/>
      <c r="U33" s="416"/>
      <c r="V33" s="417"/>
      <c r="W33" s="415" t="s">
        <v>60</v>
      </c>
      <c r="X33" s="416"/>
      <c r="Y33" s="416"/>
      <c r="Z33" s="416"/>
      <c r="AA33" s="416"/>
      <c r="AB33" s="417"/>
    </row>
    <row r="34" spans="1:28" ht="18.75" customHeight="1" x14ac:dyDescent="0.25">
      <c r="A34" s="405"/>
      <c r="B34" s="382">
        <v>2016</v>
      </c>
      <c r="C34" s="383"/>
      <c r="D34" s="382">
        <v>2020</v>
      </c>
      <c r="E34" s="383"/>
      <c r="F34" s="418">
        <v>2024</v>
      </c>
      <c r="G34" s="419"/>
      <c r="H34" s="382">
        <v>2016</v>
      </c>
      <c r="I34" s="383"/>
      <c r="J34" s="382">
        <v>2020</v>
      </c>
      <c r="K34" s="383"/>
      <c r="L34" s="418">
        <v>2024</v>
      </c>
      <c r="M34" s="419"/>
      <c r="P34" s="25"/>
      <c r="Q34" s="382">
        <v>2016</v>
      </c>
      <c r="R34" s="383"/>
      <c r="S34" s="382">
        <v>2020</v>
      </c>
      <c r="T34" s="383"/>
      <c r="U34" s="418">
        <v>2024</v>
      </c>
      <c r="V34" s="419"/>
      <c r="W34" s="382">
        <f>Q34</f>
        <v>2016</v>
      </c>
      <c r="X34" s="383"/>
      <c r="Y34" s="382">
        <f>S34</f>
        <v>2020</v>
      </c>
      <c r="Z34" s="383"/>
      <c r="AA34" s="418">
        <f>U34</f>
        <v>2024</v>
      </c>
      <c r="AB34" s="419"/>
    </row>
    <row r="35" spans="1:28" ht="18.75" customHeight="1" x14ac:dyDescent="0.25">
      <c r="A35" s="387"/>
      <c r="B35" s="199" t="s">
        <v>46</v>
      </c>
      <c r="C35" s="199" t="s">
        <v>47</v>
      </c>
      <c r="D35" s="209" t="s">
        <v>46</v>
      </c>
      <c r="E35" s="209" t="s">
        <v>47</v>
      </c>
      <c r="F35" s="215" t="s">
        <v>46</v>
      </c>
      <c r="G35" s="215" t="s">
        <v>47</v>
      </c>
      <c r="H35" s="199" t="s">
        <v>46</v>
      </c>
      <c r="I35" s="199" t="s">
        <v>47</v>
      </c>
      <c r="J35" s="199" t="s">
        <v>46</v>
      </c>
      <c r="K35" s="199" t="s">
        <v>47</v>
      </c>
      <c r="L35" s="216" t="s">
        <v>46</v>
      </c>
      <c r="M35" s="216" t="s">
        <v>47</v>
      </c>
      <c r="P35" s="56"/>
      <c r="Q35" s="171" t="s">
        <v>46</v>
      </c>
      <c r="R35" s="22" t="s">
        <v>47</v>
      </c>
      <c r="S35" s="171" t="s">
        <v>46</v>
      </c>
      <c r="T35" s="171" t="s">
        <v>47</v>
      </c>
      <c r="U35" s="21" t="s">
        <v>46</v>
      </c>
      <c r="V35" s="21" t="s">
        <v>47</v>
      </c>
      <c r="W35" s="171" t="s">
        <v>46</v>
      </c>
      <c r="X35" s="22" t="s">
        <v>47</v>
      </c>
      <c r="Y35" s="171" t="s">
        <v>46</v>
      </c>
      <c r="Z35" s="171" t="s">
        <v>47</v>
      </c>
      <c r="AA35" s="21" t="s">
        <v>46</v>
      </c>
      <c r="AB35" s="21" t="s">
        <v>47</v>
      </c>
    </row>
    <row r="36" spans="1:28" ht="4.5" customHeight="1" x14ac:dyDescent="0.25">
      <c r="A36" s="24"/>
      <c r="B36" s="200"/>
      <c r="C36" s="33"/>
      <c r="D36" s="302"/>
      <c r="E36" s="209"/>
      <c r="F36" s="217"/>
      <c r="G36" s="215"/>
      <c r="H36" s="200"/>
      <c r="I36" s="200"/>
      <c r="J36" s="200"/>
      <c r="K36" s="200"/>
      <c r="L36" s="34"/>
      <c r="M36" s="34"/>
      <c r="P36" s="24"/>
      <c r="Q36" s="172"/>
      <c r="R36" s="28"/>
      <c r="S36" s="172"/>
      <c r="T36" s="172"/>
      <c r="U36" s="26"/>
      <c r="V36" s="26"/>
      <c r="W36" s="172"/>
      <c r="X36" s="28"/>
      <c r="Y36" s="172"/>
      <c r="Z36" s="172"/>
      <c r="AA36" s="26"/>
      <c r="AB36" s="26"/>
    </row>
    <row r="37" spans="1:28" ht="13" x14ac:dyDescent="0.25">
      <c r="A37" s="24" t="s">
        <v>1</v>
      </c>
      <c r="B37" s="102"/>
      <c r="C37" s="224"/>
      <c r="D37" s="224"/>
      <c r="E37" s="81"/>
      <c r="F37" s="219"/>
      <c r="G37" s="220"/>
      <c r="H37" s="102"/>
      <c r="I37" s="81"/>
      <c r="J37" s="102"/>
      <c r="K37" s="81"/>
      <c r="L37" s="32"/>
      <c r="M37" s="220"/>
      <c r="P37" s="31" t="s">
        <v>18</v>
      </c>
      <c r="Q37" s="102">
        <v>29070</v>
      </c>
      <c r="R37" s="222">
        <v>30.666174376285667</v>
      </c>
      <c r="S37" s="102">
        <v>21396</v>
      </c>
      <c r="T37" s="81">
        <v>30.708729224674915</v>
      </c>
      <c r="U37" s="32">
        <f>SUMIF($A$38:$A$60,$P37,F$38:F$60)</f>
        <v>27957</v>
      </c>
      <c r="V37" s="220">
        <f>U37/SUM(U$37:U$41)%</f>
        <v>31.985584348721471</v>
      </c>
      <c r="W37" s="102">
        <v>12</v>
      </c>
      <c r="X37" s="222">
        <v>32.432432432432435</v>
      </c>
      <c r="Y37" s="102">
        <v>12</v>
      </c>
      <c r="Z37" s="81">
        <v>32.432432432432435</v>
      </c>
      <c r="AA37" s="32">
        <f>SUMIF($A$38:$A$60,$P37,L$38:L$60)</f>
        <v>11</v>
      </c>
      <c r="AB37" s="220">
        <f>AA37/SUM(AA$37:AA$41)%</f>
        <v>29.72972972972973</v>
      </c>
    </row>
    <row r="38" spans="1:28" ht="13" x14ac:dyDescent="0.25">
      <c r="A38" s="31" t="s">
        <v>18</v>
      </c>
      <c r="B38" s="102">
        <v>16586</v>
      </c>
      <c r="C38" s="224">
        <v>30.689240447774999</v>
      </c>
      <c r="D38" s="303">
        <v>11471</v>
      </c>
      <c r="E38" s="81">
        <v>28.4</v>
      </c>
      <c r="F38" s="223">
        <v>16500</v>
      </c>
      <c r="G38" s="220">
        <f>F38/SUM(F$38:F$42)%</f>
        <v>32.113662903853644</v>
      </c>
      <c r="H38" s="102">
        <v>5</v>
      </c>
      <c r="I38" s="81">
        <v>33.333333333333336</v>
      </c>
      <c r="J38" s="102">
        <v>5</v>
      </c>
      <c r="K38" s="81">
        <f>J38/SUM(J$7:J$10)%</f>
        <v>33.333333333333336</v>
      </c>
      <c r="L38" s="32">
        <v>4</v>
      </c>
      <c r="M38" s="220">
        <f>L38/SUM(L$38:L$42)%</f>
        <v>26.666666666666668</v>
      </c>
      <c r="P38" s="31" t="s">
        <v>19</v>
      </c>
      <c r="Q38" s="102">
        <v>19065</v>
      </c>
      <c r="R38" s="222">
        <v>20.111820243683738</v>
      </c>
      <c r="S38" s="102">
        <v>14687</v>
      </c>
      <c r="T38" s="81">
        <v>21.079599276631168</v>
      </c>
      <c r="U38" s="32">
        <f>SUMIF($A$38:$A$60,$P38,F$38:F$60)</f>
        <v>15483</v>
      </c>
      <c r="V38" s="220">
        <f t="shared" ref="V38:V41" si="1">U38/SUM(U$37:U$41)%</f>
        <v>17.714089582975802</v>
      </c>
      <c r="W38" s="102">
        <v>7</v>
      </c>
      <c r="X38" s="222">
        <v>18.918918918918919</v>
      </c>
      <c r="Y38" s="102">
        <v>7</v>
      </c>
      <c r="Z38" s="81">
        <v>18.918918918918919</v>
      </c>
      <c r="AA38" s="32">
        <f t="shared" ref="AA38:AA41" si="2">SUMIF($A$38:$A$60,$P38,L$38:L$60)</f>
        <v>7</v>
      </c>
      <c r="AB38" s="220">
        <f t="shared" ref="AB38:AB41" si="3">AA38/SUM(AA$37:AA$41)%</f>
        <v>18.918918918918919</v>
      </c>
    </row>
    <row r="39" spans="1:28" ht="13" x14ac:dyDescent="0.25">
      <c r="A39" s="31" t="s">
        <v>19</v>
      </c>
      <c r="B39" s="102">
        <v>11434</v>
      </c>
      <c r="C39" s="224">
        <v>21.156443704320473</v>
      </c>
      <c r="D39" s="303">
        <v>9213</v>
      </c>
      <c r="E39" s="81">
        <v>22.8</v>
      </c>
      <c r="F39" s="223">
        <v>8936</v>
      </c>
      <c r="G39" s="220">
        <f t="shared" ref="G39:G42" si="4">F39/SUM(F$38:F$42)%</f>
        <v>17.39198131568704</v>
      </c>
      <c r="H39" s="102">
        <v>3</v>
      </c>
      <c r="I39" s="81">
        <v>20</v>
      </c>
      <c r="J39" s="102">
        <v>3</v>
      </c>
      <c r="K39" s="81">
        <f>J39/SUM(J$7:J$10)%</f>
        <v>20</v>
      </c>
      <c r="L39" s="32">
        <v>3</v>
      </c>
      <c r="M39" s="220">
        <f t="shared" ref="M39:M42" si="5">L39/SUM(L$38:L$42)%</f>
        <v>20</v>
      </c>
      <c r="P39" s="31" t="s">
        <v>90</v>
      </c>
      <c r="Q39" s="102"/>
      <c r="R39" s="222"/>
      <c r="S39" s="102"/>
      <c r="T39" s="81"/>
      <c r="U39" s="32">
        <f t="shared" ref="U39:U41" si="6">SUMIF($A$38:$A$60,$P39,F$38:F$60)</f>
        <v>8592</v>
      </c>
      <c r="V39" s="220">
        <f t="shared" si="1"/>
        <v>9.8301012527887419</v>
      </c>
      <c r="W39" s="102"/>
      <c r="X39" s="222"/>
      <c r="Y39" s="102"/>
      <c r="Z39" s="81"/>
      <c r="AA39" s="32">
        <f t="shared" si="2"/>
        <v>3</v>
      </c>
      <c r="AB39" s="220">
        <f t="shared" si="3"/>
        <v>8.1081081081081088</v>
      </c>
    </row>
    <row r="40" spans="1:28" ht="13" x14ac:dyDescent="0.25">
      <c r="A40" s="31" t="s">
        <v>90</v>
      </c>
      <c r="B40" s="102"/>
      <c r="C40" s="224"/>
      <c r="D40" s="303"/>
      <c r="E40" s="81"/>
      <c r="F40" s="223">
        <v>6468</v>
      </c>
      <c r="G40" s="220">
        <f t="shared" si="4"/>
        <v>12.588555858310627</v>
      </c>
      <c r="H40" s="102"/>
      <c r="I40" s="81"/>
      <c r="J40" s="102"/>
      <c r="K40" s="81"/>
      <c r="L40" s="32">
        <v>2</v>
      </c>
      <c r="M40" s="220">
        <f t="shared" si="5"/>
        <v>13.333333333333334</v>
      </c>
      <c r="P40" s="31" t="s">
        <v>49</v>
      </c>
      <c r="Q40" s="102">
        <v>22578</v>
      </c>
      <c r="R40" s="222">
        <v>23.817711904636319</v>
      </c>
      <c r="S40" s="102">
        <v>17819</v>
      </c>
      <c r="T40" s="81">
        <v>25.574819875419813</v>
      </c>
      <c r="U40" s="32">
        <f t="shared" si="6"/>
        <v>16488</v>
      </c>
      <c r="V40" s="220">
        <f t="shared" si="1"/>
        <v>18.863909387334822</v>
      </c>
      <c r="W40" s="102">
        <v>8</v>
      </c>
      <c r="X40" s="222">
        <v>21.621621621621621</v>
      </c>
      <c r="Y40" s="102">
        <v>9</v>
      </c>
      <c r="Z40" s="81">
        <v>24.324324324324326</v>
      </c>
      <c r="AA40" s="32">
        <f t="shared" si="2"/>
        <v>7</v>
      </c>
      <c r="AB40" s="220">
        <f t="shared" si="3"/>
        <v>18.918918918918919</v>
      </c>
    </row>
    <row r="41" spans="1:28" ht="13" x14ac:dyDescent="0.25">
      <c r="A41" s="31" t="s">
        <v>49</v>
      </c>
      <c r="B41" s="102">
        <v>14462</v>
      </c>
      <c r="C41" s="224">
        <v>26.759182163012301</v>
      </c>
      <c r="D41" s="303">
        <v>11908</v>
      </c>
      <c r="E41" s="81">
        <v>29.5</v>
      </c>
      <c r="F41" s="223">
        <v>10578</v>
      </c>
      <c r="G41" s="220">
        <f t="shared" si="4"/>
        <v>20.587777345270535</v>
      </c>
      <c r="H41" s="102">
        <v>4</v>
      </c>
      <c r="I41" s="81">
        <v>26.666666666666668</v>
      </c>
      <c r="J41" s="102">
        <v>4</v>
      </c>
      <c r="K41" s="81">
        <f>J41/SUM(J$7:J$10)%</f>
        <v>26.666666666666668</v>
      </c>
      <c r="L41" s="32">
        <v>3</v>
      </c>
      <c r="M41" s="220">
        <f t="shared" si="5"/>
        <v>20</v>
      </c>
      <c r="P41" s="31" t="s">
        <v>21</v>
      </c>
      <c r="Q41" s="102">
        <v>24082</v>
      </c>
      <c r="R41" s="222">
        <v>25.404293475394272</v>
      </c>
      <c r="S41" s="102">
        <v>15772</v>
      </c>
      <c r="T41" s="81">
        <v>22.636851623274104</v>
      </c>
      <c r="U41" s="32">
        <f t="shared" si="6"/>
        <v>18885</v>
      </c>
      <c r="V41" s="220">
        <f t="shared" si="1"/>
        <v>21.606315428179165</v>
      </c>
      <c r="W41" s="102">
        <v>10</v>
      </c>
      <c r="X41" s="222">
        <v>27.027027027027028</v>
      </c>
      <c r="Y41" s="102">
        <v>9</v>
      </c>
      <c r="Z41" s="81">
        <v>24.324324324324326</v>
      </c>
      <c r="AA41" s="32">
        <f t="shared" si="2"/>
        <v>9</v>
      </c>
      <c r="AB41" s="220">
        <f t="shared" si="3"/>
        <v>24.324324324324326</v>
      </c>
    </row>
    <row r="42" spans="1:28" ht="13" x14ac:dyDescent="0.25">
      <c r="A42" s="31" t="s">
        <v>21</v>
      </c>
      <c r="B42" s="102">
        <v>11563</v>
      </c>
      <c r="C42" s="224">
        <v>21.395133684892219</v>
      </c>
      <c r="D42" s="303">
        <v>7756</v>
      </c>
      <c r="E42" s="81">
        <v>19.2</v>
      </c>
      <c r="F42" s="223">
        <v>8898</v>
      </c>
      <c r="G42" s="220">
        <f t="shared" si="4"/>
        <v>17.318022576878164</v>
      </c>
      <c r="H42" s="102">
        <v>3</v>
      </c>
      <c r="I42" s="81">
        <v>20</v>
      </c>
      <c r="J42" s="102">
        <v>3</v>
      </c>
      <c r="K42" s="81">
        <f>J42/SUM(J$7:J$10)%</f>
        <v>20</v>
      </c>
      <c r="L42" s="32">
        <v>3</v>
      </c>
      <c r="M42" s="220">
        <f t="shared" si="5"/>
        <v>20</v>
      </c>
      <c r="P42" s="31"/>
      <c r="Q42" s="200"/>
      <c r="R42" s="19"/>
      <c r="S42" s="200"/>
      <c r="T42" s="200"/>
      <c r="U42" s="34"/>
      <c r="V42" s="34"/>
      <c r="W42" s="200"/>
      <c r="X42" s="19"/>
      <c r="Y42" s="200"/>
      <c r="Z42" s="200"/>
      <c r="AA42" s="34"/>
      <c r="AB42" s="34"/>
    </row>
    <row r="43" spans="1:28" ht="13" x14ac:dyDescent="0.25">
      <c r="A43" s="24" t="s">
        <v>3</v>
      </c>
      <c r="B43" s="102"/>
      <c r="C43" s="224"/>
      <c r="D43" s="303"/>
      <c r="E43" s="81"/>
      <c r="F43" s="223"/>
      <c r="G43" s="220"/>
      <c r="H43" s="102"/>
      <c r="I43" s="81"/>
      <c r="J43" s="102"/>
      <c r="K43" s="81"/>
      <c r="L43" s="32"/>
      <c r="M43" s="220"/>
      <c r="P43" s="225" t="s">
        <v>9</v>
      </c>
      <c r="Q43" s="306">
        <f>SUM(Q37:Q42)</f>
        <v>94795</v>
      </c>
      <c r="R43" s="226"/>
      <c r="S43" s="306">
        <f>SUM(S37:S42)</f>
        <v>69674</v>
      </c>
      <c r="T43" s="226"/>
      <c r="U43" s="299">
        <f>SUM(U37:U42)</f>
        <v>87405</v>
      </c>
      <c r="V43" s="212"/>
      <c r="W43" s="226">
        <f>SUM(W37:W42)</f>
        <v>37</v>
      </c>
      <c r="X43" s="226"/>
      <c r="Y43" s="226">
        <f>SUM(Y37:Y42)</f>
        <v>37</v>
      </c>
      <c r="Z43" s="226"/>
      <c r="AA43" s="212">
        <f>SUM(AA37:AA42)</f>
        <v>37</v>
      </c>
      <c r="AB43" s="212"/>
    </row>
    <row r="44" spans="1:28" ht="13" x14ac:dyDescent="0.25">
      <c r="A44" s="31" t="s">
        <v>18</v>
      </c>
      <c r="B44" s="102">
        <v>3567</v>
      </c>
      <c r="C44" s="224">
        <v>29.016513462946392</v>
      </c>
      <c r="D44" s="303">
        <v>2822</v>
      </c>
      <c r="E44" s="81">
        <v>31.6</v>
      </c>
      <c r="F44" s="223">
        <v>2872</v>
      </c>
      <c r="G44" s="220">
        <f>F44/SUM(F$44:F$48)%</f>
        <v>26.377663482733286</v>
      </c>
      <c r="H44" s="102">
        <v>2</v>
      </c>
      <c r="I44" s="81">
        <v>28.571428571428569</v>
      </c>
      <c r="J44" s="102">
        <v>2</v>
      </c>
      <c r="K44" s="81">
        <f>J44/SUM(J$12:J$15)%</f>
        <v>28.571428571428569</v>
      </c>
      <c r="L44" s="32">
        <v>2</v>
      </c>
      <c r="M44" s="220">
        <f>L44/SUM(L$44:L$48)%</f>
        <v>28.571428571428569</v>
      </c>
      <c r="P44" s="370" t="s">
        <v>97</v>
      </c>
    </row>
    <row r="45" spans="1:28" ht="13" x14ac:dyDescent="0.25">
      <c r="A45" s="31" t="s">
        <v>19</v>
      </c>
      <c r="B45" s="102">
        <v>2272</v>
      </c>
      <c r="C45" s="224">
        <v>18.482062962661676</v>
      </c>
      <c r="D45" s="303">
        <v>1567</v>
      </c>
      <c r="E45" s="81">
        <v>17.5</v>
      </c>
      <c r="F45" s="223">
        <v>1601</v>
      </c>
      <c r="G45" s="220">
        <f t="shared" ref="G45:G48" si="7">F45/SUM(F$44:F$48)%</f>
        <v>14.704261572373255</v>
      </c>
      <c r="H45" s="102">
        <v>1</v>
      </c>
      <c r="I45" s="81">
        <v>14.285714285714285</v>
      </c>
      <c r="J45" s="102">
        <v>1</v>
      </c>
      <c r="K45" s="81">
        <f>J45/SUM(J$12:J$15)%</f>
        <v>14.285714285714285</v>
      </c>
      <c r="L45" s="32">
        <v>1</v>
      </c>
      <c r="M45" s="220">
        <f t="shared" ref="M45:M48" si="8">L45/SUM(L$44:L$48)%</f>
        <v>14.285714285714285</v>
      </c>
      <c r="P45" s="307"/>
    </row>
    <row r="46" spans="1:28" ht="13" x14ac:dyDescent="0.25">
      <c r="A46" s="31" t="s">
        <v>90</v>
      </c>
      <c r="B46" s="102"/>
      <c r="C46" s="224"/>
      <c r="D46" s="303"/>
      <c r="E46" s="81"/>
      <c r="F46" s="223">
        <v>1219</v>
      </c>
      <c r="G46" s="220">
        <f t="shared" si="7"/>
        <v>11.195811903012491</v>
      </c>
      <c r="H46" s="102"/>
      <c r="I46" s="81"/>
      <c r="J46" s="102"/>
      <c r="K46" s="81"/>
      <c r="L46" s="32">
        <v>1</v>
      </c>
      <c r="M46" s="220">
        <f t="shared" si="8"/>
        <v>14.285714285714285</v>
      </c>
      <c r="U46" s="11">
        <f>U43-27957-16488-15483-8592-18885</f>
        <v>0</v>
      </c>
    </row>
    <row r="47" spans="1:28" ht="13" x14ac:dyDescent="0.25">
      <c r="A47" s="31" t="s">
        <v>49</v>
      </c>
      <c r="B47" s="102">
        <v>2465</v>
      </c>
      <c r="C47" s="224">
        <v>20.052062149190593</v>
      </c>
      <c r="D47" s="303">
        <v>1606</v>
      </c>
      <c r="E47" s="81">
        <v>18</v>
      </c>
      <c r="F47" s="223">
        <v>1395</v>
      </c>
      <c r="G47" s="220">
        <f t="shared" si="7"/>
        <v>12.812270389419545</v>
      </c>
      <c r="H47" s="102">
        <v>1</v>
      </c>
      <c r="I47" s="81">
        <v>14.285714285714285</v>
      </c>
      <c r="J47" s="102">
        <v>1</v>
      </c>
      <c r="K47" s="81">
        <f>J47/SUM(J$12:J$15)%</f>
        <v>14.285714285714285</v>
      </c>
      <c r="L47" s="32">
        <v>1</v>
      </c>
      <c r="M47" s="220">
        <f t="shared" si="8"/>
        <v>14.285714285714285</v>
      </c>
    </row>
    <row r="48" spans="1:28" ht="13" x14ac:dyDescent="0.25">
      <c r="A48" s="31" t="s">
        <v>21</v>
      </c>
      <c r="B48" s="102">
        <v>3989</v>
      </c>
      <c r="C48" s="224">
        <v>32.449361425201332</v>
      </c>
      <c r="D48" s="303">
        <v>2945</v>
      </c>
      <c r="E48" s="81">
        <v>32.9</v>
      </c>
      <c r="F48" s="223">
        <v>3801</v>
      </c>
      <c r="G48" s="220">
        <f t="shared" si="7"/>
        <v>34.909992652461426</v>
      </c>
      <c r="H48" s="102">
        <v>3</v>
      </c>
      <c r="I48" s="81">
        <v>42.857142857142854</v>
      </c>
      <c r="J48" s="102">
        <v>3</v>
      </c>
      <c r="K48" s="81">
        <f>J48/SUM(J$12:J$15)%</f>
        <v>42.857142857142854</v>
      </c>
      <c r="L48" s="32">
        <v>2</v>
      </c>
      <c r="M48" s="220">
        <f t="shared" si="8"/>
        <v>28.571428571428569</v>
      </c>
    </row>
    <row r="49" spans="1:13" ht="13" x14ac:dyDescent="0.25">
      <c r="A49" s="24" t="s">
        <v>4</v>
      </c>
      <c r="B49" s="102"/>
      <c r="C49" s="224"/>
      <c r="D49" s="303"/>
      <c r="E49" s="81"/>
      <c r="F49" s="223"/>
      <c r="G49" s="220"/>
      <c r="H49" s="102"/>
      <c r="I49" s="81"/>
      <c r="J49" s="102"/>
      <c r="K49" s="81"/>
      <c r="L49" s="32"/>
      <c r="M49" s="220"/>
    </row>
    <row r="50" spans="1:13" ht="13" x14ac:dyDescent="0.25">
      <c r="A50" s="31" t="s">
        <v>18</v>
      </c>
      <c r="B50" s="102">
        <v>2630</v>
      </c>
      <c r="C50" s="224">
        <v>30.160550458715594</v>
      </c>
      <c r="D50" s="303">
        <v>2309</v>
      </c>
      <c r="E50" s="81">
        <v>35.299999999999997</v>
      </c>
      <c r="F50" s="223">
        <v>1878</v>
      </c>
      <c r="G50" s="220">
        <f>F50/SUM(F$50:F$54)%</f>
        <v>24.64243537593492</v>
      </c>
      <c r="H50" s="102">
        <v>2</v>
      </c>
      <c r="I50" s="81">
        <v>33.333333333333336</v>
      </c>
      <c r="J50" s="102">
        <v>2</v>
      </c>
      <c r="K50" s="81">
        <f>J50/SUM(J$17:J$20)%</f>
        <v>33.333333333333336</v>
      </c>
      <c r="L50" s="32">
        <v>1</v>
      </c>
      <c r="M50" s="220">
        <f>L50/SUM(L$50:L$54)%</f>
        <v>16.666666666666668</v>
      </c>
    </row>
    <row r="51" spans="1:13" ht="13" x14ac:dyDescent="0.25">
      <c r="A51" s="31" t="s">
        <v>19</v>
      </c>
      <c r="B51" s="102">
        <v>1425</v>
      </c>
      <c r="C51" s="224">
        <v>16.341743119266056</v>
      </c>
      <c r="D51" s="303">
        <v>946</v>
      </c>
      <c r="E51" s="81">
        <v>14.5</v>
      </c>
      <c r="F51" s="223">
        <v>1554</v>
      </c>
      <c r="G51" s="220">
        <f t="shared" ref="G51:G54" si="9">F51/SUM(F$50:F$54)%</f>
        <v>20.391024799895028</v>
      </c>
      <c r="H51" s="102">
        <v>1</v>
      </c>
      <c r="I51" s="81">
        <v>16.666666666666668</v>
      </c>
      <c r="J51" s="102">
        <v>1</v>
      </c>
      <c r="K51" s="81">
        <f>J51/SUM(J$17:J$20)%</f>
        <v>16.666666666666668</v>
      </c>
      <c r="L51" s="32">
        <v>1</v>
      </c>
      <c r="M51" s="220">
        <f t="shared" ref="M51:M54" si="10">L51/SUM(L$50:L$54)%</f>
        <v>16.666666666666668</v>
      </c>
    </row>
    <row r="52" spans="1:13" ht="13" x14ac:dyDescent="0.25">
      <c r="A52" s="31" t="s">
        <v>90</v>
      </c>
      <c r="B52" s="102"/>
      <c r="C52" s="224"/>
      <c r="D52" s="303"/>
      <c r="E52" s="81"/>
      <c r="F52" s="223"/>
      <c r="G52" s="220"/>
      <c r="H52" s="102"/>
      <c r="I52" s="81"/>
      <c r="J52" s="102"/>
      <c r="K52" s="81"/>
      <c r="L52" s="32"/>
      <c r="M52" s="220"/>
    </row>
    <row r="53" spans="1:13" ht="13" x14ac:dyDescent="0.25">
      <c r="A53" s="31" t="s">
        <v>49</v>
      </c>
      <c r="B53" s="102">
        <v>2342</v>
      </c>
      <c r="C53" s="224">
        <v>26.857798165137613</v>
      </c>
      <c r="D53" s="303">
        <v>1705</v>
      </c>
      <c r="E53" s="81">
        <v>26.1</v>
      </c>
      <c r="F53" s="223">
        <v>2157</v>
      </c>
      <c r="G53" s="220">
        <f t="shared" si="9"/>
        <v>28.303372260858158</v>
      </c>
      <c r="H53" s="102">
        <v>2</v>
      </c>
      <c r="I53" s="81">
        <v>33.333333333333336</v>
      </c>
      <c r="J53" s="102">
        <v>2</v>
      </c>
      <c r="K53" s="81">
        <f>J53/SUM(J$17:J$20)%</f>
        <v>33.333333333333336</v>
      </c>
      <c r="L53" s="32">
        <v>2</v>
      </c>
      <c r="M53" s="220">
        <f t="shared" si="10"/>
        <v>33.333333333333336</v>
      </c>
    </row>
    <row r="54" spans="1:13" ht="13" x14ac:dyDescent="0.25">
      <c r="A54" s="31" t="s">
        <v>21</v>
      </c>
      <c r="B54" s="102">
        <v>2323</v>
      </c>
      <c r="C54" s="224">
        <v>26.639908256880734</v>
      </c>
      <c r="D54" s="303">
        <v>1573</v>
      </c>
      <c r="E54" s="81">
        <v>24.1</v>
      </c>
      <c r="F54" s="223">
        <v>2032</v>
      </c>
      <c r="G54" s="220">
        <f t="shared" si="9"/>
        <v>26.663167563311905</v>
      </c>
      <c r="H54" s="102">
        <v>1</v>
      </c>
      <c r="I54" s="81">
        <v>16.666666666666668</v>
      </c>
      <c r="J54" s="102">
        <v>1</v>
      </c>
      <c r="K54" s="81">
        <f>J54/SUM(J$17:J$20)%</f>
        <v>16.666666666666668</v>
      </c>
      <c r="L54" s="32">
        <v>2</v>
      </c>
      <c r="M54" s="220">
        <f t="shared" si="10"/>
        <v>33.333333333333336</v>
      </c>
    </row>
    <row r="55" spans="1:13" ht="13" x14ac:dyDescent="0.25">
      <c r="A55" s="24" t="s">
        <v>6</v>
      </c>
      <c r="B55" s="102"/>
      <c r="C55" s="224"/>
      <c r="D55" s="303"/>
      <c r="E55" s="81"/>
      <c r="F55" s="223"/>
      <c r="G55" s="220"/>
      <c r="H55" s="102"/>
      <c r="I55" s="81"/>
      <c r="J55" s="102"/>
      <c r="K55" s="81"/>
      <c r="L55" s="32"/>
      <c r="M55" s="220"/>
    </row>
    <row r="56" spans="1:13" ht="13" x14ac:dyDescent="0.25">
      <c r="A56" s="31" t="s">
        <v>18</v>
      </c>
      <c r="B56" s="102">
        <v>6287</v>
      </c>
      <c r="C56" s="224">
        <v>31.853878502305314</v>
      </c>
      <c r="D56" s="303">
        <v>4794</v>
      </c>
      <c r="E56" s="81">
        <v>34.6</v>
      </c>
      <c r="F56" s="223">
        <v>6707</v>
      </c>
      <c r="G56" s="220">
        <f>F56/SUM(F$56:F$60)%</f>
        <v>38.290705640557206</v>
      </c>
      <c r="H56" s="102">
        <v>3</v>
      </c>
      <c r="I56" s="81">
        <v>33.333333333333336</v>
      </c>
      <c r="J56" s="102">
        <v>3</v>
      </c>
      <c r="K56" s="81">
        <f>J56/SUM(J$22:J$25)%</f>
        <v>33.333333333333336</v>
      </c>
      <c r="L56" s="32">
        <v>4</v>
      </c>
      <c r="M56" s="220">
        <f>L56/SUM(L$56:L$60)%</f>
        <v>44.444444444444443</v>
      </c>
    </row>
    <row r="57" spans="1:13" ht="13" x14ac:dyDescent="0.25">
      <c r="A57" s="31" t="s">
        <v>19</v>
      </c>
      <c r="B57" s="102">
        <v>3934</v>
      </c>
      <c r="C57" s="224">
        <v>19.932107209808986</v>
      </c>
      <c r="D57" s="303">
        <v>2961</v>
      </c>
      <c r="E57" s="81">
        <v>21.4</v>
      </c>
      <c r="F57" s="223">
        <v>3392</v>
      </c>
      <c r="G57" s="220">
        <f t="shared" ref="G57:G60" si="11">F57/SUM(F$56:F$60)%</f>
        <v>19.365151861155514</v>
      </c>
      <c r="H57" s="102">
        <v>2</v>
      </c>
      <c r="I57" s="81">
        <v>22.222222222222221</v>
      </c>
      <c r="J57" s="102">
        <v>2</v>
      </c>
      <c r="K57" s="81">
        <f>J57/SUM(J$22:J$25)%</f>
        <v>22.222222222222221</v>
      </c>
      <c r="L57" s="32">
        <v>2</v>
      </c>
      <c r="M57" s="220">
        <f t="shared" ref="M57:M60" si="12">L57/SUM(L$56:L$60)%</f>
        <v>22.222222222222221</v>
      </c>
    </row>
    <row r="58" spans="1:13" ht="13" x14ac:dyDescent="0.25">
      <c r="A58" s="31" t="s">
        <v>90</v>
      </c>
      <c r="B58" s="102"/>
      <c r="C58" s="224"/>
      <c r="D58" s="303"/>
      <c r="E58" s="81"/>
      <c r="F58" s="223">
        <v>905</v>
      </c>
      <c r="G58" s="220">
        <f t="shared" si="11"/>
        <v>5.1667047271066453</v>
      </c>
      <c r="H58" s="102"/>
      <c r="I58" s="81"/>
      <c r="J58" s="102"/>
      <c r="K58" s="81"/>
      <c r="L58" s="32">
        <v>0</v>
      </c>
      <c r="M58" s="220">
        <f t="shared" si="12"/>
        <v>0</v>
      </c>
    </row>
    <row r="59" spans="1:13" ht="13" x14ac:dyDescent="0.25">
      <c r="A59" s="31" t="s">
        <v>49</v>
      </c>
      <c r="B59" s="102">
        <v>3309</v>
      </c>
      <c r="C59" s="224">
        <v>16.765465876272991</v>
      </c>
      <c r="D59" s="303">
        <v>2600</v>
      </c>
      <c r="E59" s="81">
        <v>18.8</v>
      </c>
      <c r="F59" s="223">
        <v>2358</v>
      </c>
      <c r="G59" s="220">
        <f t="shared" si="11"/>
        <v>13.461977620461292</v>
      </c>
      <c r="H59" s="102">
        <v>1</v>
      </c>
      <c r="I59" s="81">
        <v>11.111111111111111</v>
      </c>
      <c r="J59" s="102">
        <v>2</v>
      </c>
      <c r="K59" s="81">
        <f>J59/SUM(J$22:J$25)%</f>
        <v>22.222222222222221</v>
      </c>
      <c r="L59" s="32">
        <v>1</v>
      </c>
      <c r="M59" s="220">
        <f t="shared" si="12"/>
        <v>11.111111111111111</v>
      </c>
    </row>
    <row r="60" spans="1:13" ht="13" x14ac:dyDescent="0.25">
      <c r="A60" s="31" t="s">
        <v>21</v>
      </c>
      <c r="B60" s="102">
        <v>6207</v>
      </c>
      <c r="C60" s="224">
        <v>31.448548411612705</v>
      </c>
      <c r="D60" s="303">
        <v>3498</v>
      </c>
      <c r="E60" s="81">
        <v>25.3</v>
      </c>
      <c r="F60" s="223">
        <v>4154</v>
      </c>
      <c r="G60" s="220">
        <f t="shared" si="11"/>
        <v>23.715460150719341</v>
      </c>
      <c r="H60" s="102">
        <v>3</v>
      </c>
      <c r="I60" s="81">
        <v>33.333333333333336</v>
      </c>
      <c r="J60" s="102">
        <v>2</v>
      </c>
      <c r="K60" s="81">
        <f>J60/SUM(J$22:J$25)%</f>
        <v>22.222222222222221</v>
      </c>
      <c r="L60" s="32">
        <v>2</v>
      </c>
      <c r="M60" s="220">
        <f t="shared" si="12"/>
        <v>22.222222222222221</v>
      </c>
    </row>
    <row r="61" spans="1:13" ht="13" x14ac:dyDescent="0.25">
      <c r="A61" s="31"/>
      <c r="B61" s="200"/>
      <c r="C61" s="33"/>
      <c r="D61" s="200"/>
      <c r="E61" s="200"/>
      <c r="F61" s="34"/>
      <c r="G61" s="34"/>
      <c r="H61" s="200"/>
      <c r="I61" s="200"/>
      <c r="J61" s="200"/>
      <c r="K61" s="200"/>
      <c r="L61" s="34"/>
      <c r="M61" s="34"/>
    </row>
    <row r="62" spans="1:13" ht="13" x14ac:dyDescent="0.25">
      <c r="A62" s="55" t="s">
        <v>9</v>
      </c>
      <c r="B62" s="300">
        <v>94795</v>
      </c>
      <c r="C62" s="301"/>
      <c r="D62" s="289">
        <f>SUM(D37:D61)</f>
        <v>69674</v>
      </c>
      <c r="E62" s="289"/>
      <c r="F62" s="205">
        <f>SUM(F37:F61)</f>
        <v>87405</v>
      </c>
      <c r="G62" s="57"/>
      <c r="H62" s="289">
        <f>SUM(H37:H61)</f>
        <v>37</v>
      </c>
      <c r="I62" s="289"/>
      <c r="J62" s="289">
        <f>SUM(J37:J61)</f>
        <v>37</v>
      </c>
      <c r="K62" s="289"/>
      <c r="L62" s="205">
        <f>SUM(L37:L61)</f>
        <v>37</v>
      </c>
      <c r="M62" s="57"/>
    </row>
    <row r="64" spans="1:13" x14ac:dyDescent="0.25">
      <c r="F64" s="305" t="s">
        <v>96</v>
      </c>
    </row>
  </sheetData>
  <mergeCells count="34">
    <mergeCell ref="A33:A35"/>
    <mergeCell ref="B33:G33"/>
    <mergeCell ref="H33:M33"/>
    <mergeCell ref="B34:C34"/>
    <mergeCell ref="F34:G34"/>
    <mergeCell ref="H34:I34"/>
    <mergeCell ref="L34:M34"/>
    <mergeCell ref="D34:E34"/>
    <mergeCell ref="J34:K34"/>
    <mergeCell ref="L3:M3"/>
    <mergeCell ref="A2:A4"/>
    <mergeCell ref="Q2:V2"/>
    <mergeCell ref="D3:E3"/>
    <mergeCell ref="B2:G2"/>
    <mergeCell ref="B3:C3"/>
    <mergeCell ref="H2:M2"/>
    <mergeCell ref="F3:G3"/>
    <mergeCell ref="H3:I3"/>
    <mergeCell ref="J3:K3"/>
    <mergeCell ref="W2:AB2"/>
    <mergeCell ref="Q3:R3"/>
    <mergeCell ref="S3:T3"/>
    <mergeCell ref="U3:V3"/>
    <mergeCell ref="W3:X3"/>
    <mergeCell ref="Y3:Z3"/>
    <mergeCell ref="AA3:AB3"/>
    <mergeCell ref="Q33:V33"/>
    <mergeCell ref="W33:AB33"/>
    <mergeCell ref="Q34:R34"/>
    <mergeCell ref="U34:V34"/>
    <mergeCell ref="W34:X34"/>
    <mergeCell ref="AA34:AB34"/>
    <mergeCell ref="S34:T34"/>
    <mergeCell ref="Y34:Z34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V38:V41 AA3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W60"/>
  <sheetViews>
    <sheetView showGridLines="0" topLeftCell="B1" zoomScaleNormal="100" workbookViewId="0">
      <selection activeCell="L3" sqref="L3:W11"/>
    </sheetView>
  </sheetViews>
  <sheetFormatPr defaultColWidth="10.90625" defaultRowHeight="12.5" x14ac:dyDescent="0.25"/>
  <cols>
    <col min="1" max="1" width="15.453125" customWidth="1"/>
    <col min="3" max="10" width="7.54296875" customWidth="1"/>
    <col min="12" max="12" width="12.453125" customWidth="1"/>
    <col min="13" max="13" width="10.54296875" customWidth="1"/>
    <col min="14" max="23" width="6.90625" customWidth="1"/>
  </cols>
  <sheetData>
    <row r="1" spans="1:23" ht="13" x14ac:dyDescent="0.25">
      <c r="A1" s="316">
        <v>2020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20">
        <v>2024</v>
      </c>
      <c r="M1" s="305" t="s">
        <v>99</v>
      </c>
    </row>
    <row r="2" spans="1:23" ht="13" x14ac:dyDescent="0.25">
      <c r="A2" s="20" t="s">
        <v>18</v>
      </c>
      <c r="B2" s="20"/>
      <c r="C2" s="20"/>
      <c r="D2" s="20"/>
      <c r="E2" s="20"/>
      <c r="F2" s="20"/>
      <c r="G2" s="20"/>
      <c r="H2" s="20"/>
      <c r="I2" s="20"/>
      <c r="J2" s="20"/>
      <c r="L2" s="20" t="s">
        <v>18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20.25" customHeight="1" x14ac:dyDescent="0.25">
      <c r="A3" s="375" t="s">
        <v>0</v>
      </c>
      <c r="B3" s="377" t="s">
        <v>57</v>
      </c>
      <c r="C3" s="379" t="s">
        <v>56</v>
      </c>
      <c r="D3" s="380"/>
      <c r="E3" s="381"/>
      <c r="F3" s="379" t="s">
        <v>55</v>
      </c>
      <c r="G3" s="380"/>
      <c r="H3" s="381"/>
      <c r="I3" s="379" t="s">
        <v>54</v>
      </c>
      <c r="J3" s="381"/>
      <c r="L3" s="375" t="s">
        <v>0</v>
      </c>
      <c r="M3" s="377" t="s">
        <v>57</v>
      </c>
      <c r="N3" s="379" t="s">
        <v>56</v>
      </c>
      <c r="O3" s="380"/>
      <c r="P3" s="380"/>
      <c r="Q3" s="381"/>
      <c r="R3" s="379" t="s">
        <v>55</v>
      </c>
      <c r="S3" s="380"/>
      <c r="T3" s="380"/>
      <c r="U3" s="381"/>
      <c r="V3" s="379" t="s">
        <v>54</v>
      </c>
      <c r="W3" s="381"/>
    </row>
    <row r="4" spans="1:23" ht="20.25" customHeight="1" x14ac:dyDescent="0.25">
      <c r="A4" s="376"/>
      <c r="B4" s="378"/>
      <c r="C4" s="243" t="s">
        <v>19</v>
      </c>
      <c r="D4" s="244" t="s">
        <v>49</v>
      </c>
      <c r="E4" s="244" t="s">
        <v>21</v>
      </c>
      <c r="F4" s="244" t="s">
        <v>19</v>
      </c>
      <c r="G4" s="244" t="s">
        <v>49</v>
      </c>
      <c r="H4" s="244" t="s">
        <v>21</v>
      </c>
      <c r="I4" s="171" t="s">
        <v>46</v>
      </c>
      <c r="J4" s="171" t="s">
        <v>22</v>
      </c>
      <c r="L4" s="376"/>
      <c r="M4" s="378"/>
      <c r="N4" s="243" t="s">
        <v>19</v>
      </c>
      <c r="O4" s="244" t="s">
        <v>90</v>
      </c>
      <c r="P4" s="244" t="s">
        <v>49</v>
      </c>
      <c r="Q4" s="244" t="s">
        <v>21</v>
      </c>
      <c r="R4" s="244" t="s">
        <v>19</v>
      </c>
      <c r="S4" s="244" t="s">
        <v>90</v>
      </c>
      <c r="T4" s="244" t="s">
        <v>49</v>
      </c>
      <c r="U4" s="244" t="s">
        <v>21</v>
      </c>
      <c r="V4" s="171" t="s">
        <v>46</v>
      </c>
      <c r="W4" s="171" t="s">
        <v>22</v>
      </c>
    </row>
    <row r="5" spans="1:23" ht="6" customHeight="1" x14ac:dyDescent="0.25">
      <c r="A5" s="73"/>
      <c r="B5" s="74"/>
      <c r="C5" s="245"/>
      <c r="D5" s="245"/>
      <c r="E5" s="245"/>
      <c r="F5" s="245"/>
      <c r="G5" s="77"/>
      <c r="H5" s="77"/>
      <c r="I5" s="77"/>
      <c r="J5" s="93"/>
      <c r="L5" s="73"/>
      <c r="M5" s="74"/>
      <c r="N5" s="245"/>
      <c r="O5" s="245"/>
      <c r="P5" s="245"/>
      <c r="Q5" s="245"/>
      <c r="R5" s="245"/>
      <c r="S5" s="245"/>
      <c r="T5" s="77"/>
      <c r="U5" s="77"/>
      <c r="V5" s="77"/>
      <c r="W5" s="93"/>
    </row>
    <row r="6" spans="1:23" ht="20.25" customHeight="1" x14ac:dyDescent="0.25">
      <c r="A6" s="78" t="s">
        <v>1</v>
      </c>
      <c r="B6" s="246">
        <f>'722 Verteilung Gden'!F7</f>
        <v>11471</v>
      </c>
      <c r="C6" s="247">
        <v>819</v>
      </c>
      <c r="D6" s="247">
        <v>639</v>
      </c>
      <c r="E6" s="247">
        <v>233</v>
      </c>
      <c r="F6" s="247">
        <f>C18</f>
        <v>809</v>
      </c>
      <c r="G6" s="247">
        <f>C42</f>
        <v>580</v>
      </c>
      <c r="H6" s="247">
        <f t="shared" ref="H6" si="0">C55</f>
        <v>217</v>
      </c>
      <c r="I6" s="102">
        <f>C6+D6+E6-F6-G6-H6</f>
        <v>85</v>
      </c>
      <c r="J6" s="82">
        <f>I6/B6%</f>
        <v>0.74099904106006453</v>
      </c>
      <c r="L6" s="78" t="s">
        <v>1</v>
      </c>
      <c r="M6" s="246">
        <f>'722 Verteilung Gden'!F38</f>
        <v>16500</v>
      </c>
      <c r="N6" s="247">
        <v>564</v>
      </c>
      <c r="O6" s="247">
        <v>494</v>
      </c>
      <c r="P6" s="247">
        <v>504</v>
      </c>
      <c r="Q6" s="247">
        <v>246</v>
      </c>
      <c r="R6" s="247">
        <f>N18</f>
        <v>809</v>
      </c>
      <c r="S6" s="247">
        <f>N30</f>
        <v>442</v>
      </c>
      <c r="T6" s="247">
        <f>N42</f>
        <v>380</v>
      </c>
      <c r="U6" s="247">
        <f>N55</f>
        <v>280</v>
      </c>
      <c r="V6" s="102">
        <f>N6+O6+P6+Q6-R6-S6-T6-U6</f>
        <v>-103</v>
      </c>
      <c r="W6" s="82">
        <f>V6/M6%</f>
        <v>-0.62424242424242427</v>
      </c>
    </row>
    <row r="7" spans="1:23" ht="20.25" customHeight="1" x14ac:dyDescent="0.25">
      <c r="A7" s="78" t="s">
        <v>3</v>
      </c>
      <c r="B7" s="246">
        <f>'722 Verteilung Gden'!F12</f>
        <v>2822</v>
      </c>
      <c r="C7" s="247">
        <v>71</v>
      </c>
      <c r="D7" s="247">
        <v>102</v>
      </c>
      <c r="E7" s="247">
        <v>141</v>
      </c>
      <c r="F7" s="247">
        <f>C19</f>
        <v>140</v>
      </c>
      <c r="G7" s="247">
        <f>C44</f>
        <v>99</v>
      </c>
      <c r="H7" s="247">
        <f>C56</f>
        <v>111</v>
      </c>
      <c r="I7" s="102">
        <f>C7+D7+E7-F7-G7-H7</f>
        <v>-36</v>
      </c>
      <c r="J7" s="82">
        <f>I7/B7%</f>
        <v>-1.2756909992912828</v>
      </c>
      <c r="L7" s="78" t="s">
        <v>3</v>
      </c>
      <c r="M7" s="246">
        <f>'722 Verteilung Gden'!F44</f>
        <v>2872</v>
      </c>
      <c r="N7" s="247">
        <v>82</v>
      </c>
      <c r="O7" s="247">
        <v>58</v>
      </c>
      <c r="P7" s="247">
        <v>58</v>
      </c>
      <c r="Q7" s="247">
        <v>144</v>
      </c>
      <c r="R7" s="247">
        <f>N19</f>
        <v>125</v>
      </c>
      <c r="S7" s="247">
        <f>N31</f>
        <v>112</v>
      </c>
      <c r="T7" s="247">
        <f>N44</f>
        <v>58</v>
      </c>
      <c r="U7" s="247">
        <f>N56</f>
        <v>85</v>
      </c>
      <c r="V7" s="102">
        <f>N7+O7+P7+Q7-R7-S7-T7-U7</f>
        <v>-38</v>
      </c>
      <c r="W7" s="82">
        <f>V7/M7%</f>
        <v>-1.3231197771587744</v>
      </c>
    </row>
    <row r="8" spans="1:23" ht="20.25" customHeight="1" x14ac:dyDescent="0.25">
      <c r="A8" s="78" t="s">
        <v>4</v>
      </c>
      <c r="B8" s="246">
        <f>'722 Verteilung Gden'!F17</f>
        <v>2309</v>
      </c>
      <c r="C8" s="247">
        <v>47</v>
      </c>
      <c r="D8" s="247">
        <v>89</v>
      </c>
      <c r="E8" s="247">
        <v>113</v>
      </c>
      <c r="F8" s="247">
        <f>C20</f>
        <v>65</v>
      </c>
      <c r="G8" s="247">
        <f>C45</f>
        <v>59</v>
      </c>
      <c r="H8" s="247">
        <f>C57</f>
        <v>108</v>
      </c>
      <c r="I8" s="102">
        <f t="shared" ref="I8:I9" si="1">C8+D8+E8-F8-G8-H8</f>
        <v>17</v>
      </c>
      <c r="J8" s="82">
        <f t="shared" ref="J8:J11" si="2">I8/B8%</f>
        <v>0.73624945864010394</v>
      </c>
      <c r="L8" s="78" t="s">
        <v>4</v>
      </c>
      <c r="M8" s="246">
        <f>'722 Verteilung Gden'!F50</f>
        <v>1878</v>
      </c>
      <c r="N8" s="247">
        <v>78</v>
      </c>
      <c r="O8" s="247">
        <v>0</v>
      </c>
      <c r="P8" s="247">
        <v>64</v>
      </c>
      <c r="Q8" s="247">
        <v>86</v>
      </c>
      <c r="R8" s="247">
        <f>N20</f>
        <v>95</v>
      </c>
      <c r="S8" s="247">
        <f>N32</f>
        <v>0</v>
      </c>
      <c r="T8" s="247">
        <f>N45</f>
        <v>94</v>
      </c>
      <c r="U8" s="247">
        <f>N57</f>
        <v>63</v>
      </c>
      <c r="V8" s="102">
        <f>N8+O8+P8+Q8-R8-S8-T8-U8</f>
        <v>-24</v>
      </c>
      <c r="W8" s="82">
        <f>V8/M8%</f>
        <v>-1.2779552715654952</v>
      </c>
    </row>
    <row r="9" spans="1:23" ht="20.25" customHeight="1" x14ac:dyDescent="0.25">
      <c r="A9" s="78" t="s">
        <v>6</v>
      </c>
      <c r="B9" s="246">
        <f>'722 Verteilung Gden'!F22</f>
        <v>4794</v>
      </c>
      <c r="C9" s="247">
        <v>321</v>
      </c>
      <c r="D9" s="247">
        <v>158</v>
      </c>
      <c r="E9" s="247">
        <v>195</v>
      </c>
      <c r="F9" s="247">
        <f>C21</f>
        <v>309</v>
      </c>
      <c r="G9" s="247">
        <f>C46</f>
        <v>213</v>
      </c>
      <c r="H9" s="247">
        <f>C58</f>
        <v>123</v>
      </c>
      <c r="I9" s="102">
        <f t="shared" si="1"/>
        <v>29</v>
      </c>
      <c r="J9" s="82">
        <f t="shared" si="2"/>
        <v>0.60492282019190657</v>
      </c>
      <c r="L9" s="78" t="s">
        <v>6</v>
      </c>
      <c r="M9" s="246">
        <f>'722 Verteilung Gden'!F56</f>
        <v>6707</v>
      </c>
      <c r="N9" s="247">
        <v>313</v>
      </c>
      <c r="O9" s="247">
        <v>95</v>
      </c>
      <c r="P9" s="247">
        <v>106</v>
      </c>
      <c r="Q9" s="247">
        <v>264</v>
      </c>
      <c r="R9" s="247">
        <f>N21</f>
        <v>414</v>
      </c>
      <c r="S9" s="247">
        <f>N33</f>
        <v>57</v>
      </c>
      <c r="T9" s="247">
        <f>N46</f>
        <v>165</v>
      </c>
      <c r="U9" s="247">
        <f>N58</f>
        <v>151</v>
      </c>
      <c r="V9" s="102">
        <f>N9+O9+P9+Q9-R9-S9-T9-U9</f>
        <v>-9</v>
      </c>
      <c r="W9" s="82">
        <f>V9/M9%</f>
        <v>-0.1341881616221858</v>
      </c>
    </row>
    <row r="10" spans="1:23" ht="6" customHeight="1" x14ac:dyDescent="0.25">
      <c r="A10" s="83"/>
      <c r="B10" s="84"/>
      <c r="C10" s="86"/>
      <c r="D10" s="86"/>
      <c r="E10" s="86"/>
      <c r="F10" s="86"/>
      <c r="G10" s="86"/>
      <c r="H10" s="36"/>
      <c r="I10" s="103"/>
      <c r="J10" s="36"/>
      <c r="L10" s="83"/>
      <c r="M10" s="84"/>
      <c r="N10" s="86"/>
      <c r="O10" s="86"/>
      <c r="P10" s="86"/>
      <c r="Q10" s="86"/>
      <c r="R10" s="86"/>
      <c r="S10" s="86"/>
      <c r="T10" s="86"/>
      <c r="U10" s="36"/>
      <c r="V10" s="103"/>
      <c r="W10" s="36"/>
    </row>
    <row r="11" spans="1:23" ht="20.25" customHeight="1" x14ac:dyDescent="0.25">
      <c r="A11" s="87" t="s">
        <v>9</v>
      </c>
      <c r="B11" s="248">
        <f>SUM(B6:B9)</f>
        <v>21396</v>
      </c>
      <c r="C11" s="248">
        <f>SUM(C6:C9)</f>
        <v>1258</v>
      </c>
      <c r="D11" s="248">
        <f>SUM(D6:D9)</f>
        <v>988</v>
      </c>
      <c r="E11" s="248">
        <f t="shared" ref="E11:H11" si="3">SUM(E6:E9)</f>
        <v>682</v>
      </c>
      <c r="F11" s="248">
        <f t="shared" si="3"/>
        <v>1323</v>
      </c>
      <c r="G11" s="248">
        <f t="shared" si="3"/>
        <v>951</v>
      </c>
      <c r="H11" s="248">
        <f t="shared" si="3"/>
        <v>559</v>
      </c>
      <c r="I11" s="248">
        <f>C11+D11+E11-F11-G11-H11</f>
        <v>95</v>
      </c>
      <c r="J11" s="96">
        <f t="shared" si="2"/>
        <v>0.44400822583660493</v>
      </c>
      <c r="L11" s="225" t="s">
        <v>9</v>
      </c>
      <c r="M11" s="248">
        <f t="shared" ref="M11:S11" si="4">SUM(M6:M9)</f>
        <v>27957</v>
      </c>
      <c r="N11" s="248">
        <f t="shared" si="4"/>
        <v>1037</v>
      </c>
      <c r="O11" s="248">
        <f t="shared" si="4"/>
        <v>647</v>
      </c>
      <c r="P11" s="248">
        <f t="shared" si="4"/>
        <v>732</v>
      </c>
      <c r="Q11" s="248">
        <f t="shared" si="4"/>
        <v>740</v>
      </c>
      <c r="R11" s="248">
        <f t="shared" si="4"/>
        <v>1443</v>
      </c>
      <c r="S11" s="248">
        <f t="shared" si="4"/>
        <v>611</v>
      </c>
      <c r="T11" s="248">
        <f t="shared" ref="T11:U11" si="5">SUM(T6:T9)</f>
        <v>697</v>
      </c>
      <c r="U11" s="248">
        <f t="shared" si="5"/>
        <v>579</v>
      </c>
      <c r="V11" s="248">
        <f>N11+O11+P11+Q11-R11-S11-T11-U11</f>
        <v>-174</v>
      </c>
      <c r="W11" s="96">
        <f>V11/M11%</f>
        <v>-0.62238437600600927</v>
      </c>
    </row>
    <row r="12" spans="1:23" ht="13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13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2.75" customHeight="1" x14ac:dyDescent="0.25">
      <c r="A14" s="20" t="s">
        <v>19</v>
      </c>
      <c r="B14" s="20"/>
      <c r="C14" s="20"/>
      <c r="D14" s="20"/>
      <c r="E14" s="20"/>
      <c r="F14" s="20"/>
      <c r="G14" s="20"/>
      <c r="H14" s="20"/>
      <c r="I14" s="20"/>
      <c r="J14" s="20"/>
      <c r="L14" s="20" t="s">
        <v>19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25">
      <c r="A15" s="375" t="s">
        <v>0</v>
      </c>
      <c r="B15" s="377" t="s">
        <v>57</v>
      </c>
      <c r="C15" s="379" t="s">
        <v>56</v>
      </c>
      <c r="D15" s="380"/>
      <c r="E15" s="381"/>
      <c r="F15" s="379" t="s">
        <v>55</v>
      </c>
      <c r="G15" s="380"/>
      <c r="H15" s="381"/>
      <c r="I15" s="379" t="s">
        <v>54</v>
      </c>
      <c r="J15" s="381"/>
      <c r="L15" s="375" t="s">
        <v>0</v>
      </c>
      <c r="M15" s="377" t="s">
        <v>57</v>
      </c>
      <c r="N15" s="379" t="s">
        <v>56</v>
      </c>
      <c r="O15" s="380"/>
      <c r="P15" s="380"/>
      <c r="Q15" s="381"/>
      <c r="R15" s="379" t="s">
        <v>55</v>
      </c>
      <c r="S15" s="380"/>
      <c r="T15" s="380"/>
      <c r="U15" s="381"/>
      <c r="V15" s="379" t="s">
        <v>54</v>
      </c>
      <c r="W15" s="381"/>
    </row>
    <row r="16" spans="1:23" ht="20.25" customHeight="1" x14ac:dyDescent="0.25">
      <c r="A16" s="376"/>
      <c r="B16" s="378"/>
      <c r="C16" s="243" t="s">
        <v>18</v>
      </c>
      <c r="D16" s="244" t="s">
        <v>49</v>
      </c>
      <c r="E16" s="244" t="s">
        <v>21</v>
      </c>
      <c r="F16" s="244" t="s">
        <v>18</v>
      </c>
      <c r="G16" s="244" t="s">
        <v>49</v>
      </c>
      <c r="H16" s="244" t="s">
        <v>21</v>
      </c>
      <c r="I16" s="171" t="s">
        <v>46</v>
      </c>
      <c r="J16" s="171" t="s">
        <v>22</v>
      </c>
      <c r="L16" s="376"/>
      <c r="M16" s="378"/>
      <c r="N16" s="243" t="s">
        <v>18</v>
      </c>
      <c r="O16" s="244" t="s">
        <v>90</v>
      </c>
      <c r="P16" s="244" t="s">
        <v>49</v>
      </c>
      <c r="Q16" s="244" t="s">
        <v>21</v>
      </c>
      <c r="R16" s="244" t="s">
        <v>18</v>
      </c>
      <c r="S16" s="244" t="s">
        <v>90</v>
      </c>
      <c r="T16" s="244" t="s">
        <v>49</v>
      </c>
      <c r="U16" s="244" t="s">
        <v>21</v>
      </c>
      <c r="V16" s="171" t="s">
        <v>46</v>
      </c>
      <c r="W16" s="171" t="s">
        <v>22</v>
      </c>
    </row>
    <row r="17" spans="1:23" ht="6" customHeight="1" x14ac:dyDescent="0.25">
      <c r="A17" s="73"/>
      <c r="B17" s="74"/>
      <c r="C17" s="245"/>
      <c r="D17" s="245"/>
      <c r="E17" s="245"/>
      <c r="F17" s="245"/>
      <c r="G17" s="77"/>
      <c r="H17" s="77"/>
      <c r="I17" s="77"/>
      <c r="J17" s="93"/>
      <c r="L17" s="73"/>
      <c r="M17" s="74"/>
      <c r="N17" s="245"/>
      <c r="O17" s="245"/>
      <c r="P17" s="245"/>
      <c r="Q17" s="245"/>
      <c r="R17" s="245"/>
      <c r="S17" s="245"/>
      <c r="T17" s="77"/>
      <c r="U17" s="77"/>
      <c r="V17" s="77"/>
      <c r="W17" s="93"/>
    </row>
    <row r="18" spans="1:23" ht="20.25" customHeight="1" x14ac:dyDescent="0.25">
      <c r="A18" s="78" t="s">
        <v>1</v>
      </c>
      <c r="B18" s="246">
        <f>'722 Verteilung Gden'!F8</f>
        <v>9213</v>
      </c>
      <c r="C18" s="247">
        <v>809</v>
      </c>
      <c r="D18" s="247">
        <v>352</v>
      </c>
      <c r="E18" s="247">
        <v>186</v>
      </c>
      <c r="F18" s="247">
        <f>C6</f>
        <v>819</v>
      </c>
      <c r="G18" s="102">
        <f>D42</f>
        <v>218</v>
      </c>
      <c r="H18" s="102">
        <f t="shared" ref="H18" si="6">D55</f>
        <v>238</v>
      </c>
      <c r="I18" s="102">
        <f t="shared" ref="I18:I21" si="7">C18+D18+E18-F18-G18-H18</f>
        <v>72</v>
      </c>
      <c r="J18" s="82">
        <f t="shared" ref="J18:J21" si="8">I18/B18%</f>
        <v>0.78150439596222732</v>
      </c>
      <c r="L18" s="78" t="s">
        <v>1</v>
      </c>
      <c r="M18" s="246">
        <f>'722 Verteilung Gden'!F39</f>
        <v>8936</v>
      </c>
      <c r="N18" s="247">
        <v>809</v>
      </c>
      <c r="O18" s="247">
        <v>281</v>
      </c>
      <c r="P18" s="247">
        <v>217</v>
      </c>
      <c r="Q18" s="247">
        <v>173</v>
      </c>
      <c r="R18" s="247">
        <f>N6</f>
        <v>564</v>
      </c>
      <c r="S18" s="247">
        <f>O30</f>
        <v>190</v>
      </c>
      <c r="T18" s="102">
        <f>O42</f>
        <v>66</v>
      </c>
      <c r="U18" s="102">
        <f>O55</f>
        <v>159</v>
      </c>
      <c r="V18" s="102">
        <f>N18+O18+P18+Q18-R18-S18-T18-U18</f>
        <v>501</v>
      </c>
      <c r="W18" s="82">
        <f>V18/M18%</f>
        <v>5.6065353625783345</v>
      </c>
    </row>
    <row r="19" spans="1:23" ht="20.25" customHeight="1" x14ac:dyDescent="0.25">
      <c r="A19" s="78" t="s">
        <v>3</v>
      </c>
      <c r="B19" s="246">
        <f>'722 Verteilung Gden'!F13</f>
        <v>1567</v>
      </c>
      <c r="C19" s="247">
        <v>140</v>
      </c>
      <c r="D19" s="247">
        <v>63</v>
      </c>
      <c r="E19" s="247">
        <v>71</v>
      </c>
      <c r="F19" s="247">
        <f>C7</f>
        <v>71</v>
      </c>
      <c r="G19" s="102">
        <f>D44</f>
        <v>25</v>
      </c>
      <c r="H19" s="102">
        <f>D56</f>
        <v>23</v>
      </c>
      <c r="I19" s="102">
        <f t="shared" si="7"/>
        <v>155</v>
      </c>
      <c r="J19" s="82">
        <f t="shared" si="8"/>
        <v>9.8915124441608171</v>
      </c>
      <c r="L19" s="78" t="s">
        <v>3</v>
      </c>
      <c r="M19" s="246">
        <f>'722 Verteilung Gden'!F45</f>
        <v>1601</v>
      </c>
      <c r="N19" s="247">
        <v>125</v>
      </c>
      <c r="O19" s="247">
        <v>47</v>
      </c>
      <c r="P19" s="247">
        <v>24</v>
      </c>
      <c r="Q19" s="247">
        <v>101</v>
      </c>
      <c r="R19" s="247">
        <f>N7</f>
        <v>82</v>
      </c>
      <c r="S19" s="247">
        <f>O31</f>
        <v>36</v>
      </c>
      <c r="T19" s="102">
        <f>O44</f>
        <v>13</v>
      </c>
      <c r="U19" s="102">
        <f>O56</f>
        <v>37</v>
      </c>
      <c r="V19" s="102">
        <f>N19+O19+P19+Q19-R19-S19-T19-U19</f>
        <v>129</v>
      </c>
      <c r="W19" s="82">
        <f>V19/M19%</f>
        <v>8.0574640849469077</v>
      </c>
    </row>
    <row r="20" spans="1:23" ht="20.25" customHeight="1" x14ac:dyDescent="0.25">
      <c r="A20" s="78" t="s">
        <v>4</v>
      </c>
      <c r="B20" s="246">
        <f>'722 Verteilung Gden'!F18</f>
        <v>946</v>
      </c>
      <c r="C20" s="247">
        <v>65</v>
      </c>
      <c r="D20" s="247">
        <v>32</v>
      </c>
      <c r="E20" s="247">
        <v>62</v>
      </c>
      <c r="F20" s="247">
        <f>C8</f>
        <v>47</v>
      </c>
      <c r="G20" s="102">
        <f>D45</f>
        <v>5</v>
      </c>
      <c r="H20" s="102">
        <f>D57</f>
        <v>34</v>
      </c>
      <c r="I20" s="102">
        <f t="shared" si="7"/>
        <v>73</v>
      </c>
      <c r="J20" s="82">
        <f t="shared" si="8"/>
        <v>7.7167019027484134</v>
      </c>
      <c r="L20" s="78" t="s">
        <v>4</v>
      </c>
      <c r="M20" s="246">
        <f>'722 Verteilung Gden'!F51</f>
        <v>1554</v>
      </c>
      <c r="N20" s="247">
        <v>95</v>
      </c>
      <c r="O20" s="247">
        <v>0</v>
      </c>
      <c r="P20" s="247">
        <v>47</v>
      </c>
      <c r="Q20" s="247">
        <v>115</v>
      </c>
      <c r="R20" s="247">
        <f>N8</f>
        <v>78</v>
      </c>
      <c r="S20" s="247">
        <f>O32</f>
        <v>0</v>
      </c>
      <c r="T20" s="102">
        <f>O45</f>
        <v>41</v>
      </c>
      <c r="U20" s="102">
        <f>O57</f>
        <v>57</v>
      </c>
      <c r="V20" s="102">
        <f>N20+O20+P20+Q20-R20-S20-T20-U20</f>
        <v>81</v>
      </c>
      <c r="W20" s="82">
        <f>V20/M20%</f>
        <v>5.212355212355213</v>
      </c>
    </row>
    <row r="21" spans="1:23" ht="20.25" customHeight="1" x14ac:dyDescent="0.25">
      <c r="A21" s="78" t="s">
        <v>6</v>
      </c>
      <c r="B21" s="246">
        <f>'722 Verteilung Gden'!F23</f>
        <v>2961</v>
      </c>
      <c r="C21" s="247">
        <v>309</v>
      </c>
      <c r="D21" s="247">
        <v>60</v>
      </c>
      <c r="E21" s="247">
        <v>129</v>
      </c>
      <c r="F21" s="247">
        <f>C9</f>
        <v>321</v>
      </c>
      <c r="G21" s="102">
        <f>D46</f>
        <v>67</v>
      </c>
      <c r="H21" s="102">
        <f>D58</f>
        <v>73</v>
      </c>
      <c r="I21" s="102">
        <f t="shared" si="7"/>
        <v>37</v>
      </c>
      <c r="J21" s="82">
        <f t="shared" si="8"/>
        <v>1.2495778453225261</v>
      </c>
      <c r="L21" s="78" t="s">
        <v>6</v>
      </c>
      <c r="M21" s="246">
        <f>'722 Verteilung Gden'!F57</f>
        <v>3392</v>
      </c>
      <c r="N21" s="247">
        <v>414</v>
      </c>
      <c r="O21" s="247">
        <v>54</v>
      </c>
      <c r="P21" s="247">
        <v>24</v>
      </c>
      <c r="Q21" s="247">
        <v>158</v>
      </c>
      <c r="R21" s="247">
        <f>N9</f>
        <v>313</v>
      </c>
      <c r="S21" s="247">
        <f>O33</f>
        <v>42</v>
      </c>
      <c r="T21" s="102">
        <f>O46</f>
        <v>43</v>
      </c>
      <c r="U21" s="102">
        <f>O58</f>
        <v>78</v>
      </c>
      <c r="V21" s="102">
        <f>N21+O21+P21+Q21-R21-S21-T21-U21</f>
        <v>174</v>
      </c>
      <c r="W21" s="82">
        <f>V21/M21%</f>
        <v>5.1297169811320753</v>
      </c>
    </row>
    <row r="22" spans="1:23" ht="6" customHeight="1" x14ac:dyDescent="0.25">
      <c r="A22" s="83"/>
      <c r="B22" s="84"/>
      <c r="C22" s="86"/>
      <c r="D22" s="86"/>
      <c r="E22" s="86"/>
      <c r="F22" s="86"/>
      <c r="G22" s="86"/>
      <c r="H22" s="36"/>
      <c r="I22" s="103"/>
      <c r="J22" s="36"/>
      <c r="L22" s="83"/>
      <c r="M22" s="84"/>
      <c r="N22" s="86"/>
      <c r="O22" s="86"/>
      <c r="P22" s="86"/>
      <c r="Q22" s="86"/>
      <c r="R22" s="86"/>
      <c r="S22" s="86"/>
      <c r="T22" s="86"/>
      <c r="U22" s="36"/>
      <c r="V22" s="103"/>
      <c r="W22" s="36"/>
    </row>
    <row r="23" spans="1:23" ht="20.25" customHeight="1" x14ac:dyDescent="0.25">
      <c r="A23" s="87" t="s">
        <v>9</v>
      </c>
      <c r="B23" s="88">
        <f t="shared" ref="B23:H23" si="9">SUM(B18:B21)</f>
        <v>14687</v>
      </c>
      <c r="C23" s="88">
        <f t="shared" si="9"/>
        <v>1323</v>
      </c>
      <c r="D23" s="88">
        <f t="shared" si="9"/>
        <v>507</v>
      </c>
      <c r="E23" s="88">
        <f t="shared" si="9"/>
        <v>448</v>
      </c>
      <c r="F23" s="88">
        <f t="shared" si="9"/>
        <v>1258</v>
      </c>
      <c r="G23" s="88">
        <f t="shared" si="9"/>
        <v>315</v>
      </c>
      <c r="H23" s="88">
        <f t="shared" si="9"/>
        <v>368</v>
      </c>
      <c r="I23" s="248">
        <f>C23+D23+E23-F23-G23-H23</f>
        <v>337</v>
      </c>
      <c r="J23" s="96">
        <f>I23/B23%</f>
        <v>2.2945461973173553</v>
      </c>
      <c r="L23" s="225" t="s">
        <v>9</v>
      </c>
      <c r="M23" s="248">
        <f t="shared" ref="M23:S23" si="10">SUM(M18:M21)</f>
        <v>15483</v>
      </c>
      <c r="N23" s="248">
        <f t="shared" si="10"/>
        <v>1443</v>
      </c>
      <c r="O23" s="248">
        <f t="shared" si="10"/>
        <v>382</v>
      </c>
      <c r="P23" s="248">
        <f t="shared" si="10"/>
        <v>312</v>
      </c>
      <c r="Q23" s="248">
        <f t="shared" si="10"/>
        <v>547</v>
      </c>
      <c r="R23" s="248">
        <f t="shared" si="10"/>
        <v>1037</v>
      </c>
      <c r="S23" s="248">
        <f t="shared" si="10"/>
        <v>268</v>
      </c>
      <c r="T23" s="88">
        <f t="shared" ref="T23:U23" si="11">SUM(T18:T21)</f>
        <v>163</v>
      </c>
      <c r="U23" s="88">
        <f t="shared" si="11"/>
        <v>331</v>
      </c>
      <c r="V23" s="248">
        <f>N23+O23+P23+Q23-R23-S23-T23-U23</f>
        <v>885</v>
      </c>
      <c r="W23" s="96">
        <f>V23/M23%</f>
        <v>5.7159465219918619</v>
      </c>
    </row>
    <row r="24" spans="1:23" ht="12.75" customHeight="1" x14ac:dyDescent="0.25">
      <c r="A24" s="317"/>
      <c r="B24" s="52"/>
      <c r="C24" s="52"/>
      <c r="D24" s="52"/>
      <c r="E24" s="52"/>
      <c r="F24" s="52"/>
      <c r="G24" s="52"/>
      <c r="H24" s="52"/>
      <c r="I24" s="318"/>
      <c r="J24" s="319"/>
      <c r="L24" s="317"/>
      <c r="M24" s="52"/>
      <c r="N24" s="52"/>
      <c r="O24" s="52"/>
      <c r="P24" s="52"/>
      <c r="Q24" s="52"/>
      <c r="R24" s="52"/>
      <c r="S24" s="52"/>
      <c r="T24" s="52"/>
      <c r="U24" s="52"/>
      <c r="V24" s="318"/>
      <c r="W24" s="319"/>
    </row>
    <row r="25" spans="1:23" ht="12.75" customHeight="1" x14ac:dyDescent="0.25">
      <c r="A25" s="317"/>
      <c r="B25" s="52"/>
      <c r="C25" s="52"/>
      <c r="D25" s="52"/>
      <c r="E25" s="52"/>
      <c r="F25" s="52"/>
      <c r="G25" s="52"/>
      <c r="H25" s="52"/>
      <c r="I25" s="318"/>
      <c r="J25" s="319"/>
      <c r="L25" s="317"/>
      <c r="M25" s="52"/>
      <c r="N25" s="52"/>
      <c r="O25" s="52"/>
      <c r="P25" s="52"/>
      <c r="Q25" s="52"/>
      <c r="R25" s="52"/>
      <c r="S25" s="52"/>
      <c r="T25" s="52"/>
      <c r="U25" s="52"/>
      <c r="V25" s="318"/>
      <c r="W25" s="319"/>
    </row>
    <row r="26" spans="1:23" ht="12.75" customHeight="1" x14ac:dyDescent="0.25">
      <c r="A26" s="317"/>
      <c r="B26" s="52"/>
      <c r="C26" s="52"/>
      <c r="D26" s="52"/>
      <c r="E26" s="52"/>
      <c r="F26" s="52"/>
      <c r="G26" s="52"/>
      <c r="H26" s="52"/>
      <c r="I26" s="318"/>
      <c r="J26" s="319"/>
      <c r="L26" s="20" t="s">
        <v>90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20.25" customHeight="1" x14ac:dyDescent="0.25">
      <c r="A27" s="317"/>
      <c r="B27" s="52"/>
      <c r="C27" s="52"/>
      <c r="D27" s="52"/>
      <c r="E27" s="52"/>
      <c r="F27" s="52"/>
      <c r="G27" s="52"/>
      <c r="H27" s="52"/>
      <c r="I27" s="318"/>
      <c r="J27" s="319"/>
      <c r="L27" s="375" t="s">
        <v>0</v>
      </c>
      <c r="M27" s="377" t="s">
        <v>57</v>
      </c>
      <c r="N27" s="379" t="s">
        <v>56</v>
      </c>
      <c r="O27" s="380"/>
      <c r="P27" s="380"/>
      <c r="Q27" s="381"/>
      <c r="R27" s="379" t="s">
        <v>55</v>
      </c>
      <c r="S27" s="380"/>
      <c r="T27" s="380"/>
      <c r="U27" s="381"/>
      <c r="V27" s="379" t="s">
        <v>54</v>
      </c>
      <c r="W27" s="381"/>
    </row>
    <row r="28" spans="1:23" ht="20.25" customHeight="1" x14ac:dyDescent="0.25">
      <c r="A28" s="317"/>
      <c r="B28" s="52"/>
      <c r="C28" s="52"/>
      <c r="D28" s="52"/>
      <c r="E28" s="52"/>
      <c r="F28" s="52"/>
      <c r="G28" s="52"/>
      <c r="H28" s="52"/>
      <c r="I28" s="318"/>
      <c r="J28" s="319"/>
      <c r="L28" s="376"/>
      <c r="M28" s="378"/>
      <c r="N28" s="243" t="s">
        <v>18</v>
      </c>
      <c r="O28" s="244" t="s">
        <v>19</v>
      </c>
      <c r="P28" s="244" t="s">
        <v>49</v>
      </c>
      <c r="Q28" s="244" t="s">
        <v>21</v>
      </c>
      <c r="R28" s="244" t="s">
        <v>18</v>
      </c>
      <c r="S28" s="244" t="s">
        <v>19</v>
      </c>
      <c r="T28" s="244" t="s">
        <v>49</v>
      </c>
      <c r="U28" s="244" t="s">
        <v>21</v>
      </c>
      <c r="V28" s="171" t="s">
        <v>46</v>
      </c>
      <c r="W28" s="171" t="s">
        <v>22</v>
      </c>
    </row>
    <row r="29" spans="1:23" ht="6" customHeight="1" x14ac:dyDescent="0.25">
      <c r="A29" s="317"/>
      <c r="B29" s="52"/>
      <c r="C29" s="52"/>
      <c r="D29" s="52"/>
      <c r="E29" s="52"/>
      <c r="F29" s="52"/>
      <c r="G29" s="52"/>
      <c r="H29" s="52"/>
      <c r="I29" s="318"/>
      <c r="J29" s="319"/>
      <c r="L29" s="73"/>
      <c r="M29" s="74"/>
      <c r="N29" s="245"/>
      <c r="O29" s="245"/>
      <c r="P29" s="245"/>
      <c r="Q29" s="245"/>
      <c r="R29" s="245"/>
      <c r="S29" s="77"/>
      <c r="T29" s="77"/>
      <c r="U29" s="77"/>
      <c r="V29" s="77"/>
      <c r="W29" s="93"/>
    </row>
    <row r="30" spans="1:23" ht="20.25" customHeight="1" x14ac:dyDescent="0.25">
      <c r="A30" s="317"/>
      <c r="B30" s="52"/>
      <c r="C30" s="52"/>
      <c r="D30" s="52"/>
      <c r="E30" s="52"/>
      <c r="F30" s="52"/>
      <c r="G30" s="52"/>
      <c r="H30" s="52"/>
      <c r="I30" s="318"/>
      <c r="J30" s="319"/>
      <c r="L30" s="78" t="s">
        <v>1</v>
      </c>
      <c r="M30" s="246">
        <f>'722 Verteilung Gden'!F40</f>
        <v>6468</v>
      </c>
      <c r="N30" s="247">
        <v>442</v>
      </c>
      <c r="O30" s="247">
        <v>190</v>
      </c>
      <c r="P30" s="247">
        <v>402</v>
      </c>
      <c r="Q30" s="247">
        <v>45</v>
      </c>
      <c r="R30" s="247">
        <f>O6</f>
        <v>494</v>
      </c>
      <c r="S30" s="102">
        <f>O18</f>
        <v>281</v>
      </c>
      <c r="T30" s="102">
        <f>P42</f>
        <v>334</v>
      </c>
      <c r="U30" s="102">
        <f>P55</f>
        <v>45</v>
      </c>
      <c r="V30" s="102">
        <f>N30+O30+P30+Q30-R30-S30-T30-U30</f>
        <v>-75</v>
      </c>
      <c r="W30" s="82">
        <f>V30/M30%</f>
        <v>-1.1595547309833023</v>
      </c>
    </row>
    <row r="31" spans="1:23" ht="20.25" customHeight="1" x14ac:dyDescent="0.25">
      <c r="A31" s="317"/>
      <c r="B31" s="52"/>
      <c r="C31" s="52"/>
      <c r="D31" s="52"/>
      <c r="E31" s="52"/>
      <c r="F31" s="52"/>
      <c r="G31" s="52"/>
      <c r="H31" s="52"/>
      <c r="I31" s="318"/>
      <c r="J31" s="319"/>
      <c r="L31" s="78" t="s">
        <v>3</v>
      </c>
      <c r="M31" s="246">
        <f>'722 Verteilung Gden'!F46</f>
        <v>1219</v>
      </c>
      <c r="N31" s="247">
        <v>112</v>
      </c>
      <c r="O31" s="247">
        <v>36</v>
      </c>
      <c r="P31" s="247">
        <v>87</v>
      </c>
      <c r="Q31" s="247">
        <v>17</v>
      </c>
      <c r="R31" s="247">
        <f>O7</f>
        <v>58</v>
      </c>
      <c r="S31" s="102">
        <f>O19</f>
        <v>47</v>
      </c>
      <c r="T31" s="102">
        <f>P44</f>
        <v>49</v>
      </c>
      <c r="U31" s="102">
        <f>P56</f>
        <v>18</v>
      </c>
      <c r="V31" s="102">
        <f>N31+O31+P31+Q31-R31-S31-T31-U31</f>
        <v>80</v>
      </c>
      <c r="W31" s="82">
        <f>V31/M31%</f>
        <v>6.5627563576702217</v>
      </c>
    </row>
    <row r="32" spans="1:23" ht="20.25" customHeight="1" x14ac:dyDescent="0.25">
      <c r="A32" s="317"/>
      <c r="B32" s="52"/>
      <c r="C32" s="52"/>
      <c r="D32" s="52"/>
      <c r="E32" s="52"/>
      <c r="F32" s="52"/>
      <c r="G32" s="52"/>
      <c r="H32" s="52"/>
      <c r="I32" s="318"/>
      <c r="J32" s="319"/>
      <c r="L32" s="78" t="s">
        <v>4</v>
      </c>
      <c r="M32" s="371">
        <f>'722 Verteilung Gden'!F52</f>
        <v>0</v>
      </c>
      <c r="N32" s="372">
        <v>0</v>
      </c>
      <c r="O32" s="372">
        <v>0</v>
      </c>
      <c r="P32" s="372">
        <v>0</v>
      </c>
      <c r="Q32" s="372">
        <v>0</v>
      </c>
      <c r="R32" s="372">
        <f>O8</f>
        <v>0</v>
      </c>
      <c r="S32" s="373">
        <f>O20</f>
        <v>0</v>
      </c>
      <c r="T32" s="373">
        <f>P45</f>
        <v>0</v>
      </c>
      <c r="U32" s="373">
        <f>P57</f>
        <v>0</v>
      </c>
      <c r="V32" s="373">
        <f>N32+O32+P32+Q32-R32-S32-T32-U32</f>
        <v>0</v>
      </c>
      <c r="W32" s="374">
        <v>0</v>
      </c>
    </row>
    <row r="33" spans="1:23" ht="20.25" customHeight="1" x14ac:dyDescent="0.25">
      <c r="A33" s="317"/>
      <c r="B33" s="52"/>
      <c r="C33" s="52"/>
      <c r="D33" s="52"/>
      <c r="E33" s="52"/>
      <c r="F33" s="52"/>
      <c r="G33" s="52"/>
      <c r="H33" s="52"/>
      <c r="I33" s="318"/>
      <c r="J33" s="319"/>
      <c r="L33" s="78" t="s">
        <v>6</v>
      </c>
      <c r="M33" s="246">
        <f>'722 Verteilung Gden'!F58</f>
        <v>905</v>
      </c>
      <c r="N33" s="247">
        <v>57</v>
      </c>
      <c r="O33" s="247">
        <v>42</v>
      </c>
      <c r="P33" s="247">
        <v>45</v>
      </c>
      <c r="Q33" s="247">
        <v>11</v>
      </c>
      <c r="R33" s="247">
        <f>O9</f>
        <v>95</v>
      </c>
      <c r="S33" s="102">
        <f>O21</f>
        <v>54</v>
      </c>
      <c r="T33" s="102">
        <f>P46</f>
        <v>80</v>
      </c>
      <c r="U33" s="102">
        <f>P58</f>
        <v>11</v>
      </c>
      <c r="V33" s="102">
        <f>N33+O33+P33+Q33-R33-S33-T33-U33</f>
        <v>-85</v>
      </c>
      <c r="W33" s="82">
        <f>V33/M33%</f>
        <v>-9.3922651933701644</v>
      </c>
    </row>
    <row r="34" spans="1:23" ht="6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L34" s="83"/>
      <c r="M34" s="84"/>
      <c r="N34" s="86"/>
      <c r="O34" s="86"/>
      <c r="P34" s="86"/>
      <c r="Q34" s="86"/>
      <c r="R34" s="86"/>
      <c r="S34" s="86"/>
      <c r="T34" s="86"/>
      <c r="U34" s="36"/>
      <c r="V34" s="103"/>
      <c r="W34" s="36"/>
    </row>
    <row r="35" spans="1:23" ht="20.25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L35" s="225" t="s">
        <v>9</v>
      </c>
      <c r="M35" s="248">
        <f t="shared" ref="M35:U35" si="12">SUM(M30:M33)</f>
        <v>8592</v>
      </c>
      <c r="N35" s="248">
        <f t="shared" si="12"/>
        <v>611</v>
      </c>
      <c r="O35" s="88">
        <f t="shared" si="12"/>
        <v>268</v>
      </c>
      <c r="P35" s="248">
        <f t="shared" si="12"/>
        <v>534</v>
      </c>
      <c r="Q35" s="88">
        <f t="shared" si="12"/>
        <v>73</v>
      </c>
      <c r="R35" s="248">
        <f t="shared" si="12"/>
        <v>647</v>
      </c>
      <c r="S35" s="248">
        <f t="shared" si="12"/>
        <v>382</v>
      </c>
      <c r="T35" s="248">
        <f t="shared" si="12"/>
        <v>463</v>
      </c>
      <c r="U35" s="248">
        <f t="shared" si="12"/>
        <v>74</v>
      </c>
      <c r="V35" s="248">
        <f>N35+O35+P35+Q35-R35-S35-T35-U35</f>
        <v>-80</v>
      </c>
      <c r="W35" s="96">
        <f>V35/M35%</f>
        <v>-0.93109869646182497</v>
      </c>
    </row>
    <row r="36" spans="1:23" ht="13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L36" s="317"/>
      <c r="M36" s="52"/>
      <c r="N36" s="52"/>
      <c r="O36" s="52"/>
      <c r="P36" s="52"/>
      <c r="Q36" s="52"/>
      <c r="R36" s="52"/>
      <c r="S36" s="52"/>
      <c r="T36" s="52"/>
      <c r="U36" s="52"/>
      <c r="V36" s="318"/>
      <c r="W36" s="319"/>
    </row>
    <row r="37" spans="1:23" ht="13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L37" s="317"/>
      <c r="M37" s="52"/>
      <c r="N37" s="52"/>
      <c r="O37" s="52"/>
      <c r="P37" s="52"/>
      <c r="Q37" s="52"/>
      <c r="R37" s="52"/>
      <c r="S37" s="52"/>
      <c r="T37" s="52"/>
      <c r="U37" s="52"/>
      <c r="V37" s="318"/>
      <c r="W37" s="319"/>
    </row>
    <row r="38" spans="1:23" ht="13" x14ac:dyDescent="0.25">
      <c r="A38" s="20" t="s">
        <v>49</v>
      </c>
      <c r="B38" s="20"/>
      <c r="C38" s="20"/>
      <c r="D38" s="20"/>
      <c r="E38" s="20"/>
      <c r="F38" s="20"/>
      <c r="G38" s="20"/>
      <c r="H38" s="20"/>
      <c r="I38" s="20"/>
      <c r="J38" s="20"/>
      <c r="L38" s="20" t="s">
        <v>49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 ht="20.25" customHeight="1" x14ac:dyDescent="0.25">
      <c r="A39" s="375" t="s">
        <v>0</v>
      </c>
      <c r="B39" s="377" t="s">
        <v>57</v>
      </c>
      <c r="C39" s="379" t="s">
        <v>56</v>
      </c>
      <c r="D39" s="380"/>
      <c r="E39" s="381"/>
      <c r="F39" s="379" t="s">
        <v>55</v>
      </c>
      <c r="G39" s="380"/>
      <c r="H39" s="381"/>
      <c r="I39" s="379" t="s">
        <v>54</v>
      </c>
      <c r="J39" s="381"/>
      <c r="L39" s="375" t="s">
        <v>0</v>
      </c>
      <c r="M39" s="377" t="s">
        <v>57</v>
      </c>
      <c r="N39" s="379" t="s">
        <v>56</v>
      </c>
      <c r="O39" s="380"/>
      <c r="P39" s="380"/>
      <c r="Q39" s="381"/>
      <c r="R39" s="379" t="s">
        <v>55</v>
      </c>
      <c r="S39" s="380"/>
      <c r="T39" s="380"/>
      <c r="U39" s="381"/>
      <c r="V39" s="379" t="s">
        <v>54</v>
      </c>
      <c r="W39" s="381"/>
    </row>
    <row r="40" spans="1:23" ht="20.25" customHeight="1" x14ac:dyDescent="0.25">
      <c r="A40" s="376"/>
      <c r="B40" s="378"/>
      <c r="C40" s="243" t="s">
        <v>18</v>
      </c>
      <c r="D40" s="244" t="s">
        <v>19</v>
      </c>
      <c r="E40" s="244" t="s">
        <v>21</v>
      </c>
      <c r="F40" s="244" t="s">
        <v>18</v>
      </c>
      <c r="G40" s="244" t="s">
        <v>19</v>
      </c>
      <c r="H40" s="244" t="s">
        <v>21</v>
      </c>
      <c r="I40" s="171" t="s">
        <v>46</v>
      </c>
      <c r="J40" s="171" t="s">
        <v>22</v>
      </c>
      <c r="L40" s="376"/>
      <c r="M40" s="378"/>
      <c r="N40" s="243" t="s">
        <v>18</v>
      </c>
      <c r="O40" s="244" t="s">
        <v>19</v>
      </c>
      <c r="P40" s="244" t="s">
        <v>90</v>
      </c>
      <c r="Q40" s="244" t="s">
        <v>21</v>
      </c>
      <c r="R40" s="244" t="s">
        <v>18</v>
      </c>
      <c r="S40" s="244" t="s">
        <v>19</v>
      </c>
      <c r="T40" s="244" t="s">
        <v>90</v>
      </c>
      <c r="U40" s="244" t="s">
        <v>21</v>
      </c>
      <c r="V40" s="171" t="s">
        <v>46</v>
      </c>
      <c r="W40" s="171" t="s">
        <v>22</v>
      </c>
    </row>
    <row r="41" spans="1:23" ht="6" customHeight="1" x14ac:dyDescent="0.25">
      <c r="A41" s="73"/>
      <c r="B41" s="74"/>
      <c r="C41" s="245"/>
      <c r="D41" s="245"/>
      <c r="E41" s="245"/>
      <c r="F41" s="245"/>
      <c r="G41" s="77"/>
      <c r="H41" s="77"/>
      <c r="I41" s="77"/>
      <c r="J41" s="93"/>
      <c r="L41" s="73"/>
      <c r="M41" s="74"/>
      <c r="N41" s="245"/>
      <c r="O41" s="245"/>
      <c r="P41" s="245"/>
      <c r="Q41" s="245"/>
      <c r="R41" s="245"/>
      <c r="S41" s="77"/>
      <c r="T41" s="77"/>
      <c r="U41" s="77"/>
      <c r="V41" s="77"/>
      <c r="W41" s="93"/>
    </row>
    <row r="42" spans="1:23" ht="20.25" customHeight="1" x14ac:dyDescent="0.25">
      <c r="A42" s="78" t="s">
        <v>1</v>
      </c>
      <c r="B42" s="246">
        <f>'722 Verteilung Gden'!F9</f>
        <v>11908</v>
      </c>
      <c r="C42" s="247">
        <v>580</v>
      </c>
      <c r="D42" s="247">
        <v>218</v>
      </c>
      <c r="E42" s="247">
        <v>52</v>
      </c>
      <c r="F42" s="247">
        <f>D6</f>
        <v>639</v>
      </c>
      <c r="G42" s="102">
        <f>D18</f>
        <v>352</v>
      </c>
      <c r="H42" s="102">
        <f>E55</f>
        <v>35</v>
      </c>
      <c r="I42" s="102">
        <f>C42+D42+E42-F42-G42-H42</f>
        <v>-176</v>
      </c>
      <c r="J42" s="82">
        <f>I42/B42%</f>
        <v>-1.477997984548203</v>
      </c>
      <c r="L42" s="78" t="s">
        <v>1</v>
      </c>
      <c r="M42" s="246">
        <f>'722 Verteilung Gden'!F41</f>
        <v>10578</v>
      </c>
      <c r="N42" s="247">
        <v>380</v>
      </c>
      <c r="O42" s="247">
        <v>66</v>
      </c>
      <c r="P42" s="247">
        <v>334</v>
      </c>
      <c r="Q42" s="247">
        <v>19</v>
      </c>
      <c r="R42" s="247">
        <f>P6</f>
        <v>504</v>
      </c>
      <c r="S42" s="102">
        <f>P18</f>
        <v>217</v>
      </c>
      <c r="T42" s="102">
        <f>P30</f>
        <v>402</v>
      </c>
      <c r="U42" s="102">
        <f>Q55</f>
        <v>24</v>
      </c>
      <c r="V42" s="102">
        <f>N42+O42+P42+Q42-R42-S42-T42-U42</f>
        <v>-348</v>
      </c>
      <c r="W42" s="82">
        <f>V42/M42%</f>
        <v>-3.2898468519568915</v>
      </c>
    </row>
    <row r="43" spans="1:23" ht="20.25" hidden="1" customHeight="1" x14ac:dyDescent="0.25">
      <c r="A43" s="78"/>
      <c r="B43" s="246"/>
      <c r="C43" s="247"/>
      <c r="D43" s="247"/>
      <c r="E43" s="247"/>
      <c r="F43" s="247"/>
      <c r="G43" s="102"/>
      <c r="H43" s="102"/>
      <c r="I43" s="102"/>
      <c r="J43" s="82"/>
      <c r="L43" s="78"/>
      <c r="M43" s="246"/>
      <c r="N43" s="247"/>
      <c r="O43" s="247"/>
      <c r="P43" s="247"/>
      <c r="Q43" s="247"/>
      <c r="R43" s="247"/>
      <c r="S43" s="102"/>
      <c r="T43" s="102"/>
      <c r="U43" s="102"/>
      <c r="V43" s="102">
        <f t="shared" ref="V43" si="13">N43+O43+P43+Q43-R43-S43-T43-U43</f>
        <v>0</v>
      </c>
      <c r="W43" s="82"/>
    </row>
    <row r="44" spans="1:23" ht="20.25" customHeight="1" x14ac:dyDescent="0.25">
      <c r="A44" s="78" t="s">
        <v>3</v>
      </c>
      <c r="B44" s="246">
        <f>'722 Verteilung Gden'!F14</f>
        <v>1606</v>
      </c>
      <c r="C44" s="247">
        <v>99</v>
      </c>
      <c r="D44" s="247">
        <v>25</v>
      </c>
      <c r="E44" s="247">
        <v>7</v>
      </c>
      <c r="F44" s="247">
        <f>D7</f>
        <v>102</v>
      </c>
      <c r="G44" s="102">
        <f>D19</f>
        <v>63</v>
      </c>
      <c r="H44" s="102">
        <f>E56</f>
        <v>4</v>
      </c>
      <c r="I44" s="102">
        <f>C44+D44+E44-F44-G44-H44</f>
        <v>-38</v>
      </c>
      <c r="J44" s="82">
        <f>I44/B44%</f>
        <v>-2.3661270236612704</v>
      </c>
      <c r="L44" s="78" t="s">
        <v>3</v>
      </c>
      <c r="M44" s="246">
        <f>'722 Verteilung Gden'!F47</f>
        <v>1395</v>
      </c>
      <c r="N44" s="247">
        <v>58</v>
      </c>
      <c r="O44" s="247">
        <v>13</v>
      </c>
      <c r="P44" s="247">
        <v>49</v>
      </c>
      <c r="Q44" s="247">
        <v>3</v>
      </c>
      <c r="R44" s="247">
        <f>P7</f>
        <v>58</v>
      </c>
      <c r="S44" s="102">
        <f>P19</f>
        <v>24</v>
      </c>
      <c r="T44" s="102">
        <f>P31</f>
        <v>87</v>
      </c>
      <c r="U44" s="102">
        <f>Q56</f>
        <v>7</v>
      </c>
      <c r="V44" s="102">
        <f>N44+O44+P44+Q44-R44-S44-T44-U44</f>
        <v>-53</v>
      </c>
      <c r="W44" s="82">
        <f>V44/M44%</f>
        <v>-3.7992831541218641</v>
      </c>
    </row>
    <row r="45" spans="1:23" ht="20.25" customHeight="1" x14ac:dyDescent="0.25">
      <c r="A45" s="78" t="s">
        <v>4</v>
      </c>
      <c r="B45" s="246">
        <f>'722 Verteilung Gden'!F19</f>
        <v>1705</v>
      </c>
      <c r="C45" s="247">
        <v>59</v>
      </c>
      <c r="D45" s="247">
        <v>5</v>
      </c>
      <c r="E45" s="247">
        <v>13</v>
      </c>
      <c r="F45" s="247">
        <f>D8</f>
        <v>89</v>
      </c>
      <c r="G45" s="102">
        <f>D20</f>
        <v>32</v>
      </c>
      <c r="H45" s="102">
        <f>E57</f>
        <v>20</v>
      </c>
      <c r="I45" s="102">
        <f>C45+D45+E45-F45-G45-H45</f>
        <v>-64</v>
      </c>
      <c r="J45" s="82">
        <f>I45/B45%</f>
        <v>-3.7536656891495599</v>
      </c>
      <c r="L45" s="78" t="s">
        <v>4</v>
      </c>
      <c r="M45" s="246">
        <f>'722 Verteilung Gden'!F53</f>
        <v>2157</v>
      </c>
      <c r="N45" s="247">
        <v>94</v>
      </c>
      <c r="O45" s="247">
        <v>41</v>
      </c>
      <c r="P45" s="247">
        <v>0</v>
      </c>
      <c r="Q45" s="247">
        <v>54</v>
      </c>
      <c r="R45" s="247">
        <f>P8</f>
        <v>64</v>
      </c>
      <c r="S45" s="102">
        <f>P20</f>
        <v>47</v>
      </c>
      <c r="T45" s="102">
        <f>P32</f>
        <v>0</v>
      </c>
      <c r="U45" s="102">
        <f>Q57</f>
        <v>8</v>
      </c>
      <c r="V45" s="102">
        <f>N45+O45+P45+Q45-R45-S45-T45-U45</f>
        <v>70</v>
      </c>
      <c r="W45" s="82">
        <f>V45/M45%</f>
        <v>3.2452480296708393</v>
      </c>
    </row>
    <row r="46" spans="1:23" ht="20.25" customHeight="1" x14ac:dyDescent="0.25">
      <c r="A46" s="78" t="s">
        <v>6</v>
      </c>
      <c r="B46" s="246">
        <f>'722 Verteilung Gden'!F24</f>
        <v>2600</v>
      </c>
      <c r="C46" s="247">
        <v>213</v>
      </c>
      <c r="D46" s="247">
        <v>67</v>
      </c>
      <c r="E46" s="247">
        <v>21</v>
      </c>
      <c r="F46" s="247">
        <f>D9</f>
        <v>158</v>
      </c>
      <c r="G46" s="102">
        <f>D21</f>
        <v>60</v>
      </c>
      <c r="H46" s="102">
        <f>E58</f>
        <v>6</v>
      </c>
      <c r="I46" s="102">
        <f>C46+D46+E46-F46-G46-H46</f>
        <v>77</v>
      </c>
      <c r="J46" s="82">
        <f>I46/B46%</f>
        <v>2.9615384615384617</v>
      </c>
      <c r="L46" s="78" t="s">
        <v>6</v>
      </c>
      <c r="M46" s="246">
        <f>'722 Verteilung Gden'!F59</f>
        <v>2358</v>
      </c>
      <c r="N46" s="247">
        <v>165</v>
      </c>
      <c r="O46" s="247">
        <v>43</v>
      </c>
      <c r="P46" s="247">
        <v>80</v>
      </c>
      <c r="Q46" s="247">
        <v>27</v>
      </c>
      <c r="R46" s="247">
        <f>P9</f>
        <v>106</v>
      </c>
      <c r="S46" s="102">
        <f>P21</f>
        <v>24</v>
      </c>
      <c r="T46" s="102">
        <f>P33</f>
        <v>45</v>
      </c>
      <c r="U46" s="102">
        <f>Q58</f>
        <v>16</v>
      </c>
      <c r="V46" s="102">
        <f>N46+O46+P46+Q46-R46-S46-T46-U46</f>
        <v>124</v>
      </c>
      <c r="W46" s="82">
        <f>V46/M46%</f>
        <v>5.2586938083121293</v>
      </c>
    </row>
    <row r="47" spans="1:23" ht="6" customHeight="1" x14ac:dyDescent="0.25">
      <c r="A47" s="83"/>
      <c r="B47" s="84"/>
      <c r="C47" s="86"/>
      <c r="D47" s="86"/>
      <c r="E47" s="86"/>
      <c r="F47" s="86"/>
      <c r="G47" s="86"/>
      <c r="H47" s="36"/>
      <c r="I47" s="103"/>
      <c r="J47" s="36"/>
      <c r="L47" s="83"/>
      <c r="M47" s="84"/>
      <c r="N47" s="86"/>
      <c r="O47" s="86"/>
      <c r="P47" s="86"/>
      <c r="Q47" s="86"/>
      <c r="R47" s="86"/>
      <c r="S47" s="86"/>
      <c r="T47" s="86"/>
      <c r="U47" s="36"/>
      <c r="V47" s="103"/>
      <c r="W47" s="36"/>
    </row>
    <row r="48" spans="1:23" ht="20.25" customHeight="1" x14ac:dyDescent="0.25">
      <c r="A48" s="87" t="s">
        <v>9</v>
      </c>
      <c r="B48" s="88">
        <f t="shared" ref="B48:H48" si="14">SUM(B42:B46)</f>
        <v>17819</v>
      </c>
      <c r="C48" s="88">
        <f t="shared" si="14"/>
        <v>951</v>
      </c>
      <c r="D48" s="88">
        <f t="shared" si="14"/>
        <v>315</v>
      </c>
      <c r="E48" s="88">
        <f t="shared" si="14"/>
        <v>93</v>
      </c>
      <c r="F48" s="88">
        <f t="shared" si="14"/>
        <v>988</v>
      </c>
      <c r="G48" s="88">
        <f t="shared" si="14"/>
        <v>507</v>
      </c>
      <c r="H48" s="88">
        <f t="shared" si="14"/>
        <v>65</v>
      </c>
      <c r="I48" s="248">
        <f>C48+D48+E48-F48-G48-H48</f>
        <v>-201</v>
      </c>
      <c r="J48" s="96">
        <f>I48/B48%</f>
        <v>-1.1280094281385038</v>
      </c>
      <c r="L48" s="225" t="s">
        <v>9</v>
      </c>
      <c r="M48" s="248">
        <f>SUM(M42:M46)</f>
        <v>16488</v>
      </c>
      <c r="N48" s="248">
        <f>SUM(N42:N46)</f>
        <v>697</v>
      </c>
      <c r="O48" s="88">
        <f t="shared" ref="O48" si="15">SUM(O42:O46)</f>
        <v>163</v>
      </c>
      <c r="P48" s="248">
        <f>SUM(P42:P46)</f>
        <v>463</v>
      </c>
      <c r="Q48" s="88">
        <f t="shared" ref="Q48:U48" si="16">SUM(Q42:Q46)</f>
        <v>103</v>
      </c>
      <c r="R48" s="88">
        <f t="shared" si="16"/>
        <v>732</v>
      </c>
      <c r="S48" s="88">
        <f t="shared" ref="S48" si="17">SUM(S42:S46)</f>
        <v>312</v>
      </c>
      <c r="T48" s="88">
        <f t="shared" si="16"/>
        <v>534</v>
      </c>
      <c r="U48" s="88">
        <f t="shared" si="16"/>
        <v>55</v>
      </c>
      <c r="V48" s="248">
        <f>N48+O48+P48+Q48-R48-S48-T48-U48</f>
        <v>-207</v>
      </c>
      <c r="W48" s="96">
        <f>V48/M48%</f>
        <v>-1.2554585152838429</v>
      </c>
    </row>
    <row r="49" spans="1:23" ht="13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pans="1:23" ht="13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:23" ht="13" x14ac:dyDescent="0.25">
      <c r="A51" s="20" t="s">
        <v>21</v>
      </c>
      <c r="B51" s="20"/>
      <c r="C51" s="20"/>
      <c r="D51" s="20"/>
      <c r="E51" s="20"/>
      <c r="F51" s="20"/>
      <c r="G51" s="20"/>
      <c r="H51" s="20"/>
      <c r="I51" s="20"/>
      <c r="J51" s="20"/>
      <c r="L51" s="20" t="s">
        <v>21</v>
      </c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 ht="20.25" customHeight="1" x14ac:dyDescent="0.25">
      <c r="A52" s="375" t="s">
        <v>0</v>
      </c>
      <c r="B52" s="377" t="s">
        <v>57</v>
      </c>
      <c r="C52" s="379" t="s">
        <v>56</v>
      </c>
      <c r="D52" s="380"/>
      <c r="E52" s="381"/>
      <c r="F52" s="379" t="s">
        <v>55</v>
      </c>
      <c r="G52" s="380"/>
      <c r="H52" s="381"/>
      <c r="I52" s="379" t="s">
        <v>54</v>
      </c>
      <c r="J52" s="381"/>
      <c r="L52" s="375" t="s">
        <v>0</v>
      </c>
      <c r="M52" s="377" t="s">
        <v>57</v>
      </c>
      <c r="N52" s="379" t="s">
        <v>56</v>
      </c>
      <c r="O52" s="380"/>
      <c r="P52" s="380"/>
      <c r="Q52" s="381"/>
      <c r="R52" s="379" t="s">
        <v>55</v>
      </c>
      <c r="S52" s="380"/>
      <c r="T52" s="380"/>
      <c r="U52" s="381"/>
      <c r="V52" s="379" t="s">
        <v>54</v>
      </c>
      <c r="W52" s="381"/>
    </row>
    <row r="53" spans="1:23" ht="20.25" customHeight="1" x14ac:dyDescent="0.25">
      <c r="A53" s="376"/>
      <c r="B53" s="378"/>
      <c r="C53" s="243" t="s">
        <v>18</v>
      </c>
      <c r="D53" s="244" t="s">
        <v>19</v>
      </c>
      <c r="E53" s="244" t="s">
        <v>49</v>
      </c>
      <c r="F53" s="243" t="s">
        <v>18</v>
      </c>
      <c r="G53" s="244" t="s">
        <v>19</v>
      </c>
      <c r="H53" s="244" t="s">
        <v>49</v>
      </c>
      <c r="I53" s="171" t="s">
        <v>46</v>
      </c>
      <c r="J53" s="171" t="s">
        <v>22</v>
      </c>
      <c r="L53" s="376"/>
      <c r="M53" s="378"/>
      <c r="N53" s="243" t="s">
        <v>18</v>
      </c>
      <c r="O53" s="244" t="s">
        <v>19</v>
      </c>
      <c r="P53" s="244" t="s">
        <v>90</v>
      </c>
      <c r="Q53" s="244" t="s">
        <v>49</v>
      </c>
      <c r="R53" s="243" t="s">
        <v>18</v>
      </c>
      <c r="S53" s="244" t="s">
        <v>19</v>
      </c>
      <c r="T53" s="244" t="s">
        <v>90</v>
      </c>
      <c r="U53" s="244" t="s">
        <v>49</v>
      </c>
      <c r="V53" s="171" t="s">
        <v>46</v>
      </c>
      <c r="W53" s="171" t="s">
        <v>22</v>
      </c>
    </row>
    <row r="54" spans="1:23" ht="6" customHeight="1" x14ac:dyDescent="0.25">
      <c r="A54" s="73"/>
      <c r="B54" s="74"/>
      <c r="C54" s="245"/>
      <c r="D54" s="245"/>
      <c r="E54" s="245"/>
      <c r="F54" s="245"/>
      <c r="G54" s="77"/>
      <c r="H54" s="77"/>
      <c r="I54" s="77"/>
      <c r="J54" s="93"/>
      <c r="L54" s="73"/>
      <c r="M54" s="74"/>
      <c r="N54" s="245"/>
      <c r="O54" s="245"/>
      <c r="P54" s="245"/>
      <c r="Q54" s="245"/>
      <c r="R54" s="245"/>
      <c r="S54" s="77"/>
      <c r="T54" s="77"/>
      <c r="U54" s="77"/>
      <c r="V54" s="77"/>
      <c r="W54" s="93"/>
    </row>
    <row r="55" spans="1:23" ht="20.25" customHeight="1" x14ac:dyDescent="0.25">
      <c r="A55" s="78" t="s">
        <v>1</v>
      </c>
      <c r="B55" s="246">
        <f>'722 Verteilung Gden'!F10</f>
        <v>7756</v>
      </c>
      <c r="C55" s="247">
        <v>217</v>
      </c>
      <c r="D55" s="247">
        <v>238</v>
      </c>
      <c r="E55" s="247">
        <v>35</v>
      </c>
      <c r="F55" s="247">
        <f>E6</f>
        <v>233</v>
      </c>
      <c r="G55" s="102">
        <f>E18</f>
        <v>186</v>
      </c>
      <c r="H55" s="102">
        <f>E42</f>
        <v>52</v>
      </c>
      <c r="I55" s="102">
        <f>C55+D55+E55-F55-G55-H55</f>
        <v>19</v>
      </c>
      <c r="J55" s="82">
        <f>I55/B55%</f>
        <v>0.24497163486333159</v>
      </c>
      <c r="L55" s="78" t="s">
        <v>1</v>
      </c>
      <c r="M55" s="246">
        <f>'722 Verteilung Gden'!F42</f>
        <v>8898</v>
      </c>
      <c r="N55" s="247">
        <v>280</v>
      </c>
      <c r="O55" s="247">
        <v>159</v>
      </c>
      <c r="P55" s="247">
        <v>45</v>
      </c>
      <c r="Q55" s="247">
        <v>24</v>
      </c>
      <c r="R55" s="247">
        <f>Q6</f>
        <v>246</v>
      </c>
      <c r="S55" s="102">
        <f>Q18</f>
        <v>173</v>
      </c>
      <c r="T55" s="102">
        <f>Q30</f>
        <v>45</v>
      </c>
      <c r="U55" s="102">
        <f>Q42</f>
        <v>19</v>
      </c>
      <c r="V55" s="102">
        <f>N55+O55+P55+Q55-R55-S55-T55-U55</f>
        <v>25</v>
      </c>
      <c r="W55" s="82">
        <f>V55/M55%</f>
        <v>0.2809620139357159</v>
      </c>
    </row>
    <row r="56" spans="1:23" ht="20.25" customHeight="1" x14ac:dyDescent="0.25">
      <c r="A56" s="78" t="s">
        <v>3</v>
      </c>
      <c r="B56" s="246">
        <f>'722 Verteilung Gden'!F15</f>
        <v>2945</v>
      </c>
      <c r="C56" s="247">
        <v>111</v>
      </c>
      <c r="D56" s="247">
        <v>23</v>
      </c>
      <c r="E56" s="247">
        <v>4</v>
      </c>
      <c r="F56" s="247">
        <f>E7</f>
        <v>141</v>
      </c>
      <c r="G56" s="102">
        <f>E19</f>
        <v>71</v>
      </c>
      <c r="H56" s="102">
        <f>E44</f>
        <v>7</v>
      </c>
      <c r="I56" s="102">
        <f t="shared" ref="I56:I58" si="18">C56+D56+E56-F56-G56-H56</f>
        <v>-81</v>
      </c>
      <c r="J56" s="82">
        <f t="shared" ref="J56:J58" si="19">I56/B56%</f>
        <v>-2.7504244482173177</v>
      </c>
      <c r="L56" s="78" t="s">
        <v>3</v>
      </c>
      <c r="M56" s="246">
        <f>'722 Verteilung Gden'!F48</f>
        <v>3801</v>
      </c>
      <c r="N56" s="247">
        <v>85</v>
      </c>
      <c r="O56" s="247">
        <v>37</v>
      </c>
      <c r="P56" s="247">
        <v>18</v>
      </c>
      <c r="Q56" s="247">
        <v>7</v>
      </c>
      <c r="R56" s="247">
        <f>Q7</f>
        <v>144</v>
      </c>
      <c r="S56" s="102">
        <f>Q19</f>
        <v>101</v>
      </c>
      <c r="T56" s="102">
        <f>Q31</f>
        <v>17</v>
      </c>
      <c r="U56" s="102">
        <f>Q44</f>
        <v>3</v>
      </c>
      <c r="V56" s="102">
        <f>N56+O56+P56+Q56-R56-S56-T56-U56</f>
        <v>-118</v>
      </c>
      <c r="W56" s="82">
        <f>V56/M56%</f>
        <v>-3.1044461983688505</v>
      </c>
    </row>
    <row r="57" spans="1:23" ht="20.25" customHeight="1" x14ac:dyDescent="0.25">
      <c r="A57" s="78" t="s">
        <v>4</v>
      </c>
      <c r="B57" s="246">
        <f>'722 Verteilung Gden'!F20</f>
        <v>1573</v>
      </c>
      <c r="C57" s="247">
        <v>108</v>
      </c>
      <c r="D57" s="247">
        <v>34</v>
      </c>
      <c r="E57" s="247">
        <v>20</v>
      </c>
      <c r="F57" s="247">
        <f>E8</f>
        <v>113</v>
      </c>
      <c r="G57" s="102">
        <f>E20</f>
        <v>62</v>
      </c>
      <c r="H57" s="102">
        <f>E45</f>
        <v>13</v>
      </c>
      <c r="I57" s="102">
        <f t="shared" si="18"/>
        <v>-26</v>
      </c>
      <c r="J57" s="82">
        <f t="shared" si="19"/>
        <v>-1.6528925619834711</v>
      </c>
      <c r="L57" s="78" t="s">
        <v>4</v>
      </c>
      <c r="M57" s="246">
        <f>'722 Verteilung Gden'!F54</f>
        <v>2032</v>
      </c>
      <c r="N57" s="247">
        <v>63</v>
      </c>
      <c r="O57" s="247">
        <v>57</v>
      </c>
      <c r="P57" s="247">
        <v>0</v>
      </c>
      <c r="Q57" s="247">
        <v>8</v>
      </c>
      <c r="R57" s="247">
        <f>Q8</f>
        <v>86</v>
      </c>
      <c r="S57" s="102">
        <f>Q20</f>
        <v>115</v>
      </c>
      <c r="T57" s="102">
        <f>Q32</f>
        <v>0</v>
      </c>
      <c r="U57" s="102">
        <f>Q45</f>
        <v>54</v>
      </c>
      <c r="V57" s="102">
        <f>N57+O57+P57+Q57-R57-S57-T57-U57</f>
        <v>-127</v>
      </c>
      <c r="W57" s="82">
        <f>V57/M57%</f>
        <v>-6.25</v>
      </c>
    </row>
    <row r="58" spans="1:23" ht="20.25" customHeight="1" x14ac:dyDescent="0.25">
      <c r="A58" s="78" t="s">
        <v>6</v>
      </c>
      <c r="B58" s="246">
        <f>'722 Verteilung Gden'!F25</f>
        <v>3498</v>
      </c>
      <c r="C58" s="247">
        <v>123</v>
      </c>
      <c r="D58" s="247">
        <v>73</v>
      </c>
      <c r="E58" s="247">
        <v>6</v>
      </c>
      <c r="F58" s="247">
        <f>E9</f>
        <v>195</v>
      </c>
      <c r="G58" s="102">
        <f>E21</f>
        <v>129</v>
      </c>
      <c r="H58" s="102">
        <f>E46</f>
        <v>21</v>
      </c>
      <c r="I58" s="102">
        <f t="shared" si="18"/>
        <v>-143</v>
      </c>
      <c r="J58" s="82">
        <f t="shared" si="19"/>
        <v>-4.0880503144654092</v>
      </c>
      <c r="L58" s="78" t="s">
        <v>6</v>
      </c>
      <c r="M58" s="246">
        <f>'722 Verteilung Gden'!F60</f>
        <v>4154</v>
      </c>
      <c r="N58" s="247">
        <v>151</v>
      </c>
      <c r="O58" s="247">
        <v>78</v>
      </c>
      <c r="P58" s="247">
        <v>11</v>
      </c>
      <c r="Q58" s="247">
        <v>16</v>
      </c>
      <c r="R58" s="247">
        <f>Q9</f>
        <v>264</v>
      </c>
      <c r="S58" s="102">
        <f>Q21</f>
        <v>158</v>
      </c>
      <c r="T58" s="102">
        <f>Q33</f>
        <v>11</v>
      </c>
      <c r="U58" s="102">
        <f>Q46</f>
        <v>27</v>
      </c>
      <c r="V58" s="102">
        <f>N58+O58+P58+Q58-R58-S58-T58-U58</f>
        <v>-204</v>
      </c>
      <c r="W58" s="82">
        <f>V58/M58%</f>
        <v>-4.9109292248435246</v>
      </c>
    </row>
    <row r="59" spans="1:23" ht="6" customHeight="1" x14ac:dyDescent="0.25">
      <c r="A59" s="83"/>
      <c r="B59" s="84"/>
      <c r="C59" s="86"/>
      <c r="D59" s="86"/>
      <c r="E59" s="86"/>
      <c r="F59" s="86"/>
      <c r="G59" s="86"/>
      <c r="H59" s="36"/>
      <c r="I59" s="103"/>
      <c r="J59" s="36"/>
      <c r="L59" s="83"/>
      <c r="M59" s="84"/>
      <c r="N59" s="86"/>
      <c r="O59" s="86"/>
      <c r="P59" s="86"/>
      <c r="Q59" s="86"/>
      <c r="R59" s="86"/>
      <c r="S59" s="86"/>
      <c r="T59" s="86"/>
      <c r="U59" s="36"/>
      <c r="V59" s="103"/>
      <c r="W59" s="36"/>
    </row>
    <row r="60" spans="1:23" ht="20.25" customHeight="1" x14ac:dyDescent="0.25">
      <c r="A60" s="87" t="s">
        <v>9</v>
      </c>
      <c r="B60" s="88">
        <f t="shared" ref="B60:H60" si="20">SUM(B55:B58)</f>
        <v>15772</v>
      </c>
      <c r="C60" s="88">
        <f t="shared" si="20"/>
        <v>559</v>
      </c>
      <c r="D60" s="88">
        <f t="shared" si="20"/>
        <v>368</v>
      </c>
      <c r="E60" s="88">
        <f t="shared" si="20"/>
        <v>65</v>
      </c>
      <c r="F60" s="88">
        <f t="shared" si="20"/>
        <v>682</v>
      </c>
      <c r="G60" s="88">
        <f t="shared" si="20"/>
        <v>448</v>
      </c>
      <c r="H60" s="88">
        <f t="shared" si="20"/>
        <v>93</v>
      </c>
      <c r="I60" s="248">
        <f>C60+D60+E60-F60-G60-H60</f>
        <v>-231</v>
      </c>
      <c r="J60" s="96">
        <f>I60/B60%</f>
        <v>-1.4646208470707582</v>
      </c>
      <c r="L60" s="225" t="s">
        <v>9</v>
      </c>
      <c r="M60" s="248">
        <f>SUM(M55:M58)</f>
        <v>18885</v>
      </c>
      <c r="N60" s="248">
        <f>SUM(N55:N58)</f>
        <v>579</v>
      </c>
      <c r="O60" s="88">
        <f t="shared" ref="O60" si="21">SUM(O55:O58)</f>
        <v>331</v>
      </c>
      <c r="P60" s="248">
        <f>SUM(P55:P58)</f>
        <v>74</v>
      </c>
      <c r="Q60" s="88">
        <f t="shared" ref="Q60:U60" si="22">SUM(Q55:Q58)</f>
        <v>55</v>
      </c>
      <c r="R60" s="88">
        <f t="shared" si="22"/>
        <v>740</v>
      </c>
      <c r="S60" s="88">
        <f t="shared" ref="S60" si="23">SUM(S55:S58)</f>
        <v>547</v>
      </c>
      <c r="T60" s="88">
        <f t="shared" si="22"/>
        <v>73</v>
      </c>
      <c r="U60" s="88">
        <f t="shared" si="22"/>
        <v>103</v>
      </c>
      <c r="V60" s="248">
        <f>N60+O60+P60+Q60-R60-S60-T60-U60</f>
        <v>-424</v>
      </c>
      <c r="W60" s="96">
        <f>V60/M60%</f>
        <v>-2.2451681228488218</v>
      </c>
    </row>
  </sheetData>
  <mergeCells count="45">
    <mergeCell ref="I39:J39"/>
    <mergeCell ref="A52:A53"/>
    <mergeCell ref="B52:B53"/>
    <mergeCell ref="C52:E52"/>
    <mergeCell ref="F52:H52"/>
    <mergeCell ref="I52:J52"/>
    <mergeCell ref="A39:A40"/>
    <mergeCell ref="B39:B40"/>
    <mergeCell ref="C39:E39"/>
    <mergeCell ref="F39:H39"/>
    <mergeCell ref="I15:J15"/>
    <mergeCell ref="A3:A4"/>
    <mergeCell ref="B3:B4"/>
    <mergeCell ref="I3:J3"/>
    <mergeCell ref="F3:H3"/>
    <mergeCell ref="C3:E3"/>
    <mergeCell ref="A15:A16"/>
    <mergeCell ref="B15:B16"/>
    <mergeCell ref="C15:E15"/>
    <mergeCell ref="F15:H15"/>
    <mergeCell ref="L3:L4"/>
    <mergeCell ref="M3:M4"/>
    <mergeCell ref="N3:Q3"/>
    <mergeCell ref="R3:U3"/>
    <mergeCell ref="V3:W3"/>
    <mergeCell ref="L15:L16"/>
    <mergeCell ref="M15:M16"/>
    <mergeCell ref="N15:Q15"/>
    <mergeCell ref="R15:U15"/>
    <mergeCell ref="V15:W15"/>
    <mergeCell ref="L39:L40"/>
    <mergeCell ref="M39:M40"/>
    <mergeCell ref="N39:Q39"/>
    <mergeCell ref="R39:U39"/>
    <mergeCell ref="V39:W39"/>
    <mergeCell ref="L52:L53"/>
    <mergeCell ref="M52:M53"/>
    <mergeCell ref="N52:Q52"/>
    <mergeCell ref="R52:U52"/>
    <mergeCell ref="V52:W52"/>
    <mergeCell ref="L27:L28"/>
    <mergeCell ref="M27:M28"/>
    <mergeCell ref="N27:Q27"/>
    <mergeCell ref="R27:U27"/>
    <mergeCell ref="V27:W27"/>
  </mergeCells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4582-B67B-467C-8E33-1F907E318266}">
  <dimension ref="A1:AX60"/>
  <sheetViews>
    <sheetView zoomScale="80" zoomScaleNormal="80" workbookViewId="0">
      <selection activeCell="X58" sqref="X58"/>
    </sheetView>
  </sheetViews>
  <sheetFormatPr defaultColWidth="11.453125" defaultRowHeight="13" x14ac:dyDescent="0.25"/>
  <cols>
    <col min="1" max="1" width="13.36328125" style="312" customWidth="1"/>
    <col min="2" max="2" width="22.08984375" style="312" customWidth="1"/>
    <col min="3" max="3" width="10" style="312" customWidth="1"/>
    <col min="4" max="9" width="7.90625" style="312" customWidth="1"/>
    <col min="10" max="10" width="7.08984375" style="312" customWidth="1"/>
    <col min="11" max="11" width="11.453125" style="312"/>
    <col min="12" max="12" width="22.08984375" style="312" customWidth="1"/>
    <col min="13" max="13" width="10" style="312" customWidth="1"/>
    <col min="14" max="19" width="7.90625" style="312" customWidth="1"/>
    <col min="20" max="20" width="7.08984375" style="312" customWidth="1"/>
    <col min="21" max="21" width="11.453125" style="312"/>
    <col min="22" max="22" width="22.08984375" style="312" customWidth="1"/>
    <col min="23" max="23" width="10" style="312" customWidth="1"/>
    <col min="24" max="29" width="7.90625" style="312" customWidth="1"/>
    <col min="30" max="30" width="7.08984375" style="312" customWidth="1"/>
    <col min="31" max="31" width="11.453125" style="312"/>
    <col min="32" max="32" width="22.08984375" style="312" customWidth="1"/>
    <col min="33" max="33" width="10" style="312" customWidth="1"/>
    <col min="34" max="39" width="7.90625" style="312" customWidth="1"/>
    <col min="40" max="40" width="7.08984375" style="312" customWidth="1"/>
    <col min="41" max="41" width="11.453125" style="312"/>
    <col min="42" max="42" width="22.08984375" style="312" customWidth="1"/>
    <col min="43" max="43" width="10" style="312" customWidth="1"/>
    <col min="44" max="49" width="7.90625" style="312" customWidth="1"/>
    <col min="50" max="50" width="7.08984375" style="312" customWidth="1"/>
    <col min="51" max="16384" width="11.453125" style="312"/>
  </cols>
  <sheetData>
    <row r="1" spans="1:50" x14ac:dyDescent="0.25">
      <c r="A1" s="348" t="s">
        <v>241</v>
      </c>
    </row>
    <row r="3" spans="1:50" ht="25.5" customHeight="1" x14ac:dyDescent="0.25">
      <c r="A3" s="328" t="s">
        <v>126</v>
      </c>
      <c r="B3" s="420" t="s">
        <v>100</v>
      </c>
      <c r="C3" s="422" t="s">
        <v>101</v>
      </c>
      <c r="D3" s="424" t="s">
        <v>103</v>
      </c>
      <c r="E3" s="426"/>
      <c r="F3" s="426"/>
      <c r="G3" s="426"/>
      <c r="H3" s="425"/>
      <c r="I3" s="424"/>
      <c r="J3" s="425"/>
      <c r="K3" s="339" t="s">
        <v>19</v>
      </c>
      <c r="L3" s="420" t="s">
        <v>100</v>
      </c>
      <c r="M3" s="422" t="s">
        <v>101</v>
      </c>
      <c r="N3" s="424" t="s">
        <v>103</v>
      </c>
      <c r="O3" s="426"/>
      <c r="P3" s="426"/>
      <c r="Q3" s="426"/>
      <c r="R3" s="425"/>
      <c r="S3" s="424"/>
      <c r="T3" s="425"/>
      <c r="U3" s="339" t="s">
        <v>90</v>
      </c>
      <c r="V3" s="420" t="s">
        <v>100</v>
      </c>
      <c r="W3" s="422" t="s">
        <v>101</v>
      </c>
      <c r="X3" s="424" t="s">
        <v>103</v>
      </c>
      <c r="Y3" s="426"/>
      <c r="Z3" s="426"/>
      <c r="AA3" s="426"/>
      <c r="AB3" s="425"/>
      <c r="AC3" s="424"/>
      <c r="AD3" s="425"/>
      <c r="AE3" s="339" t="s">
        <v>49</v>
      </c>
      <c r="AF3" s="420" t="s">
        <v>100</v>
      </c>
      <c r="AG3" s="422" t="s">
        <v>101</v>
      </c>
      <c r="AH3" s="424" t="s">
        <v>103</v>
      </c>
      <c r="AI3" s="426"/>
      <c r="AJ3" s="426"/>
      <c r="AK3" s="426"/>
      <c r="AL3" s="425"/>
      <c r="AM3" s="424"/>
      <c r="AN3" s="425"/>
      <c r="AO3" s="339" t="s">
        <v>21</v>
      </c>
      <c r="AP3" s="420" t="s">
        <v>100</v>
      </c>
      <c r="AQ3" s="422" t="s">
        <v>101</v>
      </c>
      <c r="AR3" s="424" t="s">
        <v>103</v>
      </c>
      <c r="AS3" s="426"/>
      <c r="AT3" s="426"/>
      <c r="AU3" s="426"/>
      <c r="AV3" s="425"/>
      <c r="AW3" s="424"/>
      <c r="AX3" s="425"/>
    </row>
    <row r="4" spans="1:50" x14ac:dyDescent="0.25">
      <c r="B4" s="421"/>
      <c r="C4" s="423"/>
      <c r="D4" s="327" t="s">
        <v>19</v>
      </c>
      <c r="E4" s="327" t="s">
        <v>90</v>
      </c>
      <c r="F4" s="327" t="s">
        <v>49</v>
      </c>
      <c r="G4" s="327" t="s">
        <v>21</v>
      </c>
      <c r="H4" s="321" t="s">
        <v>102</v>
      </c>
      <c r="I4" s="322" t="s">
        <v>9</v>
      </c>
      <c r="J4" s="321" t="s">
        <v>22</v>
      </c>
      <c r="L4" s="421"/>
      <c r="M4" s="423"/>
      <c r="N4" s="327" t="s">
        <v>18</v>
      </c>
      <c r="O4" s="327" t="s">
        <v>90</v>
      </c>
      <c r="P4" s="327" t="s">
        <v>49</v>
      </c>
      <c r="Q4" s="327" t="s">
        <v>21</v>
      </c>
      <c r="R4" s="321" t="s">
        <v>102</v>
      </c>
      <c r="S4" s="322" t="s">
        <v>9</v>
      </c>
      <c r="T4" s="321" t="s">
        <v>22</v>
      </c>
      <c r="V4" s="421"/>
      <c r="W4" s="423"/>
      <c r="X4" s="327" t="s">
        <v>18</v>
      </c>
      <c r="Y4" s="327" t="s">
        <v>19</v>
      </c>
      <c r="Z4" s="327" t="s">
        <v>49</v>
      </c>
      <c r="AA4" s="327" t="s">
        <v>21</v>
      </c>
      <c r="AB4" s="321" t="s">
        <v>102</v>
      </c>
      <c r="AC4" s="322" t="s">
        <v>9</v>
      </c>
      <c r="AD4" s="321" t="s">
        <v>22</v>
      </c>
      <c r="AF4" s="421"/>
      <c r="AG4" s="423"/>
      <c r="AH4" s="327" t="s">
        <v>18</v>
      </c>
      <c r="AI4" s="327" t="s">
        <v>19</v>
      </c>
      <c r="AJ4" s="327" t="s">
        <v>90</v>
      </c>
      <c r="AK4" s="327" t="s">
        <v>21</v>
      </c>
      <c r="AL4" s="321" t="s">
        <v>102</v>
      </c>
      <c r="AM4" s="322" t="s">
        <v>9</v>
      </c>
      <c r="AN4" s="321" t="s">
        <v>22</v>
      </c>
      <c r="AP4" s="421"/>
      <c r="AQ4" s="423"/>
      <c r="AR4" s="327" t="s">
        <v>18</v>
      </c>
      <c r="AS4" s="327" t="s">
        <v>19</v>
      </c>
      <c r="AT4" s="327" t="s">
        <v>90</v>
      </c>
      <c r="AU4" s="327" t="s">
        <v>49</v>
      </c>
      <c r="AV4" s="321" t="s">
        <v>102</v>
      </c>
      <c r="AW4" s="322" t="s">
        <v>9</v>
      </c>
      <c r="AX4" s="321" t="s">
        <v>22</v>
      </c>
    </row>
    <row r="5" spans="1:50" x14ac:dyDescent="0.25">
      <c r="B5" s="323"/>
      <c r="C5" s="323"/>
      <c r="D5" s="323"/>
      <c r="E5" s="323"/>
      <c r="F5" s="323"/>
      <c r="G5" s="323"/>
      <c r="H5" s="324"/>
      <c r="I5" s="323"/>
      <c r="J5" s="324"/>
      <c r="L5" s="323"/>
      <c r="M5" s="323"/>
      <c r="N5" s="323"/>
      <c r="O5" s="323"/>
      <c r="P5" s="323"/>
      <c r="Q5" s="323"/>
      <c r="R5" s="324"/>
      <c r="S5" s="323"/>
      <c r="T5" s="324"/>
      <c r="V5" s="323"/>
      <c r="W5" s="323"/>
      <c r="X5" s="323"/>
      <c r="Y5" s="323"/>
      <c r="Z5" s="323"/>
      <c r="AA5" s="323"/>
      <c r="AB5" s="324"/>
      <c r="AC5" s="323"/>
      <c r="AD5" s="324"/>
      <c r="AF5" s="323"/>
      <c r="AG5" s="323"/>
      <c r="AH5" s="323"/>
      <c r="AI5" s="323"/>
      <c r="AJ5" s="323"/>
      <c r="AK5" s="323"/>
      <c r="AL5" s="324"/>
      <c r="AM5" s="323"/>
      <c r="AN5" s="324"/>
      <c r="AP5" s="323"/>
      <c r="AQ5" s="323"/>
      <c r="AR5" s="323"/>
      <c r="AS5" s="323"/>
      <c r="AT5" s="323"/>
      <c r="AU5" s="323"/>
      <c r="AV5" s="324"/>
      <c r="AW5" s="323"/>
      <c r="AX5" s="324"/>
    </row>
    <row r="6" spans="1:50" x14ac:dyDescent="0.25">
      <c r="B6" s="323" t="s">
        <v>104</v>
      </c>
      <c r="C6" s="330">
        <v>2424</v>
      </c>
      <c r="D6" s="330">
        <v>90</v>
      </c>
      <c r="E6" s="330">
        <v>54</v>
      </c>
      <c r="F6" s="330">
        <v>62</v>
      </c>
      <c r="G6" s="330">
        <v>38</v>
      </c>
      <c r="H6" s="331">
        <v>242</v>
      </c>
      <c r="I6" s="330">
        <f>SUM(D6:H6)</f>
        <v>486</v>
      </c>
      <c r="J6" s="332">
        <f>I6/C6%</f>
        <v>20.049504950495052</v>
      </c>
      <c r="L6" s="323" t="s">
        <v>117</v>
      </c>
      <c r="M6" s="330">
        <v>1558</v>
      </c>
      <c r="N6" s="330">
        <v>92</v>
      </c>
      <c r="O6" s="330">
        <v>42</v>
      </c>
      <c r="P6" s="330">
        <v>46</v>
      </c>
      <c r="Q6" s="330">
        <v>14</v>
      </c>
      <c r="R6" s="331">
        <v>150</v>
      </c>
      <c r="S6" s="330">
        <f>SUM(N6:R6)</f>
        <v>344</v>
      </c>
      <c r="T6" s="332">
        <f>S6/M6%</f>
        <v>22.0795892169448</v>
      </c>
      <c r="V6" s="323" t="s">
        <v>127</v>
      </c>
      <c r="W6" s="330">
        <v>1140</v>
      </c>
      <c r="X6" s="330">
        <v>58</v>
      </c>
      <c r="Y6" s="330">
        <v>34</v>
      </c>
      <c r="Z6" s="330">
        <v>76</v>
      </c>
      <c r="AA6" s="330">
        <v>10</v>
      </c>
      <c r="AB6" s="331">
        <v>140</v>
      </c>
      <c r="AC6" s="330">
        <f>SUM(X6:AB6)</f>
        <v>318</v>
      </c>
      <c r="AD6" s="332">
        <f>AC6/W6%</f>
        <v>27.894736842105264</v>
      </c>
      <c r="AF6" s="323" t="s">
        <v>139</v>
      </c>
      <c r="AG6" s="330">
        <v>1452</v>
      </c>
      <c r="AH6" s="330">
        <v>28</v>
      </c>
      <c r="AI6" s="330">
        <v>0</v>
      </c>
      <c r="AJ6" s="330">
        <v>30</v>
      </c>
      <c r="AK6" s="330">
        <v>0</v>
      </c>
      <c r="AL6" s="331">
        <v>82</v>
      </c>
      <c r="AM6" s="330">
        <f>SUM(AH6:AL6)</f>
        <v>140</v>
      </c>
      <c r="AN6" s="332">
        <f>AM6/AG6%</f>
        <v>9.6418732782369148</v>
      </c>
      <c r="AP6" s="323" t="s">
        <v>148</v>
      </c>
      <c r="AQ6" s="330">
        <v>1232</v>
      </c>
      <c r="AR6" s="330">
        <v>22</v>
      </c>
      <c r="AS6" s="330">
        <v>16</v>
      </c>
      <c r="AT6" s="330">
        <v>8</v>
      </c>
      <c r="AU6" s="330">
        <v>2</v>
      </c>
      <c r="AV6" s="331">
        <v>72</v>
      </c>
      <c r="AW6" s="330">
        <f>SUM(AR6:AV6)</f>
        <v>120</v>
      </c>
      <c r="AX6" s="332">
        <f>AW6/AQ6%</f>
        <v>9.7402597402597397</v>
      </c>
    </row>
    <row r="7" spans="1:50" x14ac:dyDescent="0.25">
      <c r="B7" s="323" t="s">
        <v>105</v>
      </c>
      <c r="C7" s="330">
        <v>1502</v>
      </c>
      <c r="D7" s="330">
        <v>22</v>
      </c>
      <c r="E7" s="330">
        <v>22</v>
      </c>
      <c r="F7" s="330">
        <v>36</v>
      </c>
      <c r="G7" s="330">
        <v>8</v>
      </c>
      <c r="H7" s="331">
        <v>112</v>
      </c>
      <c r="I7" s="330">
        <f t="shared" ref="I7:I19" si="0">SUM(D7:H7)</f>
        <v>200</v>
      </c>
      <c r="J7" s="332">
        <f t="shared" ref="J7:J18" si="1">I7/C7%</f>
        <v>13.315579227696405</v>
      </c>
      <c r="L7" s="323" t="s">
        <v>118</v>
      </c>
      <c r="M7" s="330">
        <v>1515</v>
      </c>
      <c r="N7" s="330">
        <v>132</v>
      </c>
      <c r="O7" s="330">
        <v>48</v>
      </c>
      <c r="P7" s="330">
        <v>28</v>
      </c>
      <c r="Q7" s="330">
        <v>26</v>
      </c>
      <c r="R7" s="331">
        <v>152</v>
      </c>
      <c r="S7" s="330">
        <f t="shared" ref="S7:S13" si="2">SUM(N7:R7)</f>
        <v>386</v>
      </c>
      <c r="T7" s="332">
        <f t="shared" ref="T7:T13" si="3">S7/M7%</f>
        <v>25.478547854785479</v>
      </c>
      <c r="V7" s="325" t="s">
        <v>128</v>
      </c>
      <c r="W7" s="333">
        <v>810</v>
      </c>
      <c r="X7" s="333">
        <v>12</v>
      </c>
      <c r="Y7" s="333">
        <v>12</v>
      </c>
      <c r="Z7" s="333">
        <v>40</v>
      </c>
      <c r="AA7" s="333">
        <v>0</v>
      </c>
      <c r="AB7" s="340">
        <v>62</v>
      </c>
      <c r="AC7" s="333">
        <f t="shared" ref="AC7:AC17" si="4">SUM(X7:AB7)</f>
        <v>126</v>
      </c>
      <c r="AD7" s="346">
        <f t="shared" ref="AD7:AD17" si="5">AC7/W7%</f>
        <v>15.555555555555555</v>
      </c>
      <c r="AF7" s="323" t="s">
        <v>140</v>
      </c>
      <c r="AG7" s="330">
        <v>1431</v>
      </c>
      <c r="AH7" s="330">
        <v>26</v>
      </c>
      <c r="AI7" s="330">
        <v>8</v>
      </c>
      <c r="AJ7" s="330">
        <v>36</v>
      </c>
      <c r="AK7" s="330">
        <v>2</v>
      </c>
      <c r="AL7" s="331">
        <v>66</v>
      </c>
      <c r="AM7" s="330">
        <f t="shared" ref="AM7:AM14" si="6">SUM(AH7:AL7)</f>
        <v>138</v>
      </c>
      <c r="AN7" s="332">
        <f t="shared" ref="AN7:AN14" si="7">AM7/AG7%</f>
        <v>9.6436058700209646</v>
      </c>
      <c r="AP7" s="323" t="s">
        <v>149</v>
      </c>
      <c r="AQ7" s="330">
        <v>1218</v>
      </c>
      <c r="AR7" s="330">
        <v>20</v>
      </c>
      <c r="AS7" s="330">
        <v>30</v>
      </c>
      <c r="AT7" s="330">
        <v>4</v>
      </c>
      <c r="AU7" s="330">
        <v>0</v>
      </c>
      <c r="AV7" s="330">
        <v>46</v>
      </c>
      <c r="AW7" s="330">
        <f t="shared" ref="AW7:AW15" si="8">SUM(AR7:AV7)</f>
        <v>100</v>
      </c>
      <c r="AX7" s="332">
        <f t="shared" ref="AX7:AX15" si="9">AW7/AQ7%</f>
        <v>8.2101806239737272</v>
      </c>
    </row>
    <row r="8" spans="1:50" x14ac:dyDescent="0.25">
      <c r="B8" s="323" t="s">
        <v>106</v>
      </c>
      <c r="C8" s="330">
        <v>1400</v>
      </c>
      <c r="D8" s="330">
        <v>26</v>
      </c>
      <c r="E8" s="330">
        <v>20</v>
      </c>
      <c r="F8" s="330">
        <v>32</v>
      </c>
      <c r="G8" s="330">
        <v>20</v>
      </c>
      <c r="H8" s="331">
        <v>114</v>
      </c>
      <c r="I8" s="330">
        <f t="shared" si="0"/>
        <v>212</v>
      </c>
      <c r="J8" s="332">
        <f>I8/C8%</f>
        <v>15.142857142857142</v>
      </c>
      <c r="L8" s="323" t="s">
        <v>119</v>
      </c>
      <c r="M8" s="330">
        <v>1280</v>
      </c>
      <c r="N8" s="330">
        <v>38</v>
      </c>
      <c r="O8" s="330">
        <v>6</v>
      </c>
      <c r="P8" s="330">
        <v>10</v>
      </c>
      <c r="Q8" s="330">
        <v>22</v>
      </c>
      <c r="R8" s="331">
        <v>86</v>
      </c>
      <c r="S8" s="330">
        <f t="shared" si="2"/>
        <v>162</v>
      </c>
      <c r="T8" s="332">
        <f t="shared" si="3"/>
        <v>12.65625</v>
      </c>
      <c r="V8" s="323" t="s">
        <v>129</v>
      </c>
      <c r="W8" s="330">
        <v>660</v>
      </c>
      <c r="X8" s="330">
        <v>10</v>
      </c>
      <c r="Y8" s="330">
        <v>4</v>
      </c>
      <c r="Z8" s="330">
        <v>12</v>
      </c>
      <c r="AA8" s="330">
        <v>0</v>
      </c>
      <c r="AB8" s="331">
        <v>18</v>
      </c>
      <c r="AC8" s="330">
        <f t="shared" si="4"/>
        <v>44</v>
      </c>
      <c r="AD8" s="332">
        <f t="shared" si="5"/>
        <v>6.666666666666667</v>
      </c>
      <c r="AF8" s="325" t="s">
        <v>141</v>
      </c>
      <c r="AG8" s="333">
        <v>1393</v>
      </c>
      <c r="AH8" s="333">
        <v>26</v>
      </c>
      <c r="AI8" s="333">
        <v>8</v>
      </c>
      <c r="AJ8" s="333">
        <v>38</v>
      </c>
      <c r="AK8" s="333">
        <v>6</v>
      </c>
      <c r="AL8" s="333">
        <v>86</v>
      </c>
      <c r="AM8" s="333">
        <f t="shared" si="6"/>
        <v>164</v>
      </c>
      <c r="AN8" s="344">
        <f t="shared" si="7"/>
        <v>11.773151471643935</v>
      </c>
      <c r="AP8" s="325" t="s">
        <v>150</v>
      </c>
      <c r="AQ8" s="333">
        <v>1166</v>
      </c>
      <c r="AR8" s="333">
        <v>12</v>
      </c>
      <c r="AS8" s="333">
        <v>8</v>
      </c>
      <c r="AT8" s="333">
        <v>4</v>
      </c>
      <c r="AU8" s="333">
        <v>6</v>
      </c>
      <c r="AV8" s="340">
        <v>32</v>
      </c>
      <c r="AW8" s="333">
        <f t="shared" si="8"/>
        <v>62</v>
      </c>
      <c r="AX8" s="346">
        <f t="shared" si="9"/>
        <v>5.3173241852487134</v>
      </c>
    </row>
    <row r="9" spans="1:50" x14ac:dyDescent="0.25">
      <c r="B9" s="323" t="s">
        <v>107</v>
      </c>
      <c r="C9" s="330">
        <v>1398</v>
      </c>
      <c r="D9" s="330">
        <v>36</v>
      </c>
      <c r="E9" s="330">
        <v>12</v>
      </c>
      <c r="F9" s="330">
        <v>24</v>
      </c>
      <c r="G9" s="330">
        <v>14</v>
      </c>
      <c r="H9" s="331">
        <v>84</v>
      </c>
      <c r="I9" s="333">
        <f t="shared" si="0"/>
        <v>170</v>
      </c>
      <c r="J9" s="344">
        <f t="shared" si="1"/>
        <v>12.160228898426324</v>
      </c>
      <c r="L9" s="329" t="s">
        <v>120</v>
      </c>
      <c r="M9" s="334">
        <v>968</v>
      </c>
      <c r="N9" s="334">
        <v>10</v>
      </c>
      <c r="O9" s="334">
        <v>14</v>
      </c>
      <c r="P9" s="334">
        <v>16</v>
      </c>
      <c r="Q9" s="334">
        <v>4</v>
      </c>
      <c r="R9" s="334">
        <v>58</v>
      </c>
      <c r="S9" s="334">
        <f t="shared" si="2"/>
        <v>102</v>
      </c>
      <c r="T9" s="345">
        <f t="shared" si="3"/>
        <v>10.537190082644628</v>
      </c>
      <c r="V9" s="323" t="s">
        <v>130</v>
      </c>
      <c r="W9" s="330">
        <v>526</v>
      </c>
      <c r="X9" s="330">
        <v>24</v>
      </c>
      <c r="Y9" s="330">
        <v>12</v>
      </c>
      <c r="Z9" s="330">
        <v>14</v>
      </c>
      <c r="AA9" s="330">
        <v>14</v>
      </c>
      <c r="AB9" s="330">
        <v>42</v>
      </c>
      <c r="AC9" s="330">
        <f t="shared" si="4"/>
        <v>106</v>
      </c>
      <c r="AD9" s="347">
        <f t="shared" si="5"/>
        <v>20.152091254752854</v>
      </c>
      <c r="AF9" s="323" t="s">
        <v>142</v>
      </c>
      <c r="AG9" s="330">
        <v>1332</v>
      </c>
      <c r="AH9" s="330">
        <v>22</v>
      </c>
      <c r="AI9" s="330">
        <v>2</v>
      </c>
      <c r="AJ9" s="330">
        <v>18</v>
      </c>
      <c r="AK9" s="330">
        <v>0</v>
      </c>
      <c r="AL9" s="330">
        <v>50</v>
      </c>
      <c r="AM9" s="330">
        <f t="shared" si="6"/>
        <v>92</v>
      </c>
      <c r="AN9" s="347">
        <f t="shared" si="7"/>
        <v>6.9069069069069071</v>
      </c>
      <c r="AP9" s="323" t="s">
        <v>151</v>
      </c>
      <c r="AQ9" s="330">
        <v>1050</v>
      </c>
      <c r="AR9" s="330">
        <v>16</v>
      </c>
      <c r="AS9" s="330">
        <v>6</v>
      </c>
      <c r="AT9" s="330">
        <v>2</v>
      </c>
      <c r="AU9" s="330">
        <v>4</v>
      </c>
      <c r="AV9" s="330">
        <v>32</v>
      </c>
      <c r="AW9" s="330">
        <f t="shared" si="8"/>
        <v>60</v>
      </c>
      <c r="AX9" s="347">
        <f t="shared" si="9"/>
        <v>5.7142857142857144</v>
      </c>
    </row>
    <row r="10" spans="1:50" x14ac:dyDescent="0.25">
      <c r="B10" s="329" t="s">
        <v>108</v>
      </c>
      <c r="C10" s="334">
        <v>1320</v>
      </c>
      <c r="D10" s="334">
        <v>18</v>
      </c>
      <c r="E10" s="334">
        <v>20</v>
      </c>
      <c r="F10" s="334">
        <v>28</v>
      </c>
      <c r="G10" s="334">
        <v>10</v>
      </c>
      <c r="H10" s="335">
        <v>74</v>
      </c>
      <c r="I10" s="330">
        <f t="shared" si="0"/>
        <v>150</v>
      </c>
      <c r="J10" s="332">
        <f t="shared" si="1"/>
        <v>11.363636363636365</v>
      </c>
      <c r="L10" s="323" t="s">
        <v>121</v>
      </c>
      <c r="M10" s="330">
        <v>918</v>
      </c>
      <c r="N10" s="330">
        <v>18</v>
      </c>
      <c r="O10" s="330">
        <v>14</v>
      </c>
      <c r="P10" s="330">
        <v>2</v>
      </c>
      <c r="Q10" s="330">
        <v>8</v>
      </c>
      <c r="R10" s="331">
        <v>38</v>
      </c>
      <c r="S10" s="330">
        <f t="shared" si="2"/>
        <v>80</v>
      </c>
      <c r="T10" s="332">
        <f t="shared" si="3"/>
        <v>8.7145969498910674</v>
      </c>
      <c r="V10" s="323" t="s">
        <v>131</v>
      </c>
      <c r="W10" s="330">
        <v>468</v>
      </c>
      <c r="X10" s="330">
        <v>10</v>
      </c>
      <c r="Y10" s="330">
        <v>2</v>
      </c>
      <c r="Z10" s="330">
        <v>12</v>
      </c>
      <c r="AA10" s="330">
        <v>0</v>
      </c>
      <c r="AB10" s="331">
        <v>30</v>
      </c>
      <c r="AC10" s="330">
        <f t="shared" si="4"/>
        <v>54</v>
      </c>
      <c r="AD10" s="332">
        <f t="shared" si="5"/>
        <v>11.538461538461538</v>
      </c>
      <c r="AF10" s="323" t="s">
        <v>143</v>
      </c>
      <c r="AG10" s="330">
        <v>1317</v>
      </c>
      <c r="AH10" s="330">
        <v>6</v>
      </c>
      <c r="AI10" s="330">
        <v>0</v>
      </c>
      <c r="AJ10" s="330">
        <v>18</v>
      </c>
      <c r="AK10" s="330">
        <v>2</v>
      </c>
      <c r="AL10" s="331">
        <v>50</v>
      </c>
      <c r="AM10" s="330">
        <f t="shared" si="6"/>
        <v>76</v>
      </c>
      <c r="AN10" s="332">
        <f t="shared" si="7"/>
        <v>5.7706909643128323</v>
      </c>
      <c r="AP10" s="323" t="s">
        <v>157</v>
      </c>
      <c r="AQ10" s="330">
        <v>922</v>
      </c>
      <c r="AR10" s="330">
        <v>2</v>
      </c>
      <c r="AS10" s="330">
        <v>0</v>
      </c>
      <c r="AT10" s="330">
        <v>0</v>
      </c>
      <c r="AU10" s="330">
        <v>0</v>
      </c>
      <c r="AV10" s="331">
        <v>6</v>
      </c>
      <c r="AW10" s="330">
        <f t="shared" si="8"/>
        <v>8</v>
      </c>
      <c r="AX10" s="332">
        <f t="shared" si="9"/>
        <v>0.86767895878524937</v>
      </c>
    </row>
    <row r="11" spans="1:50" x14ac:dyDescent="0.25">
      <c r="B11" s="323" t="s">
        <v>109</v>
      </c>
      <c r="C11" s="330">
        <v>967</v>
      </c>
      <c r="D11" s="330">
        <v>14</v>
      </c>
      <c r="E11" s="330">
        <v>8</v>
      </c>
      <c r="F11" s="330">
        <v>6</v>
      </c>
      <c r="G11" s="330">
        <v>10</v>
      </c>
      <c r="H11" s="331">
        <v>18</v>
      </c>
      <c r="I11" s="330">
        <f t="shared" si="0"/>
        <v>56</v>
      </c>
      <c r="J11" s="332">
        <f t="shared" si="1"/>
        <v>5.7911065149948291</v>
      </c>
      <c r="L11" s="323" t="s">
        <v>122</v>
      </c>
      <c r="M11" s="330">
        <v>853</v>
      </c>
      <c r="N11" s="330">
        <v>8</v>
      </c>
      <c r="O11" s="330">
        <v>6</v>
      </c>
      <c r="P11" s="330">
        <v>14</v>
      </c>
      <c r="Q11" s="330">
        <v>4</v>
      </c>
      <c r="R11" s="331">
        <v>32</v>
      </c>
      <c r="S11" s="330">
        <f t="shared" si="2"/>
        <v>64</v>
      </c>
      <c r="T11" s="332">
        <f t="shared" si="3"/>
        <v>7.5029308323563901</v>
      </c>
      <c r="V11" s="323" t="s">
        <v>132</v>
      </c>
      <c r="W11" s="330">
        <v>377</v>
      </c>
      <c r="X11" s="330">
        <v>6</v>
      </c>
      <c r="Y11" s="330">
        <v>8</v>
      </c>
      <c r="Z11" s="330">
        <v>8</v>
      </c>
      <c r="AA11" s="330">
        <v>0</v>
      </c>
      <c r="AB11" s="331">
        <v>12</v>
      </c>
      <c r="AC11" s="330">
        <f t="shared" si="4"/>
        <v>34</v>
      </c>
      <c r="AD11" s="332">
        <f t="shared" si="5"/>
        <v>9.0185676392572951</v>
      </c>
      <c r="AF11" s="323" t="s">
        <v>144</v>
      </c>
      <c r="AG11" s="330">
        <v>1271</v>
      </c>
      <c r="AH11" s="330">
        <v>10</v>
      </c>
      <c r="AI11" s="330">
        <v>4</v>
      </c>
      <c r="AJ11" s="330">
        <v>22</v>
      </c>
      <c r="AK11" s="330">
        <v>0</v>
      </c>
      <c r="AL11" s="331">
        <v>36</v>
      </c>
      <c r="AM11" s="330">
        <f t="shared" si="6"/>
        <v>72</v>
      </c>
      <c r="AN11" s="332">
        <f t="shared" si="7"/>
        <v>5.664830841856805</v>
      </c>
      <c r="AP11" s="323" t="s">
        <v>152</v>
      </c>
      <c r="AQ11" s="330">
        <v>592</v>
      </c>
      <c r="AR11" s="330">
        <v>8</v>
      </c>
      <c r="AS11" s="330">
        <v>4</v>
      </c>
      <c r="AT11" s="330">
        <v>0</v>
      </c>
      <c r="AU11" s="330">
        <v>0</v>
      </c>
      <c r="AV11" s="331">
        <v>8</v>
      </c>
      <c r="AW11" s="330">
        <f t="shared" si="8"/>
        <v>20</v>
      </c>
      <c r="AX11" s="332">
        <f t="shared" si="9"/>
        <v>3.3783783783783785</v>
      </c>
    </row>
    <row r="12" spans="1:50" x14ac:dyDescent="0.25">
      <c r="B12" s="323" t="s">
        <v>125</v>
      </c>
      <c r="C12" s="330">
        <v>952</v>
      </c>
      <c r="D12" s="330">
        <v>18</v>
      </c>
      <c r="E12" s="330">
        <v>16</v>
      </c>
      <c r="F12" s="330">
        <v>10</v>
      </c>
      <c r="G12" s="330">
        <v>6</v>
      </c>
      <c r="H12" s="331">
        <v>40</v>
      </c>
      <c r="I12" s="330">
        <f t="shared" si="0"/>
        <v>90</v>
      </c>
      <c r="J12" s="332">
        <f t="shared" si="1"/>
        <v>9.4537815126050422</v>
      </c>
      <c r="L12" s="323" t="s">
        <v>123</v>
      </c>
      <c r="M12" s="330">
        <v>742</v>
      </c>
      <c r="N12" s="330">
        <v>8</v>
      </c>
      <c r="O12" s="330">
        <v>2</v>
      </c>
      <c r="P12" s="330">
        <v>2</v>
      </c>
      <c r="Q12" s="330">
        <v>10</v>
      </c>
      <c r="R12" s="331">
        <v>16</v>
      </c>
      <c r="S12" s="330">
        <f t="shared" si="2"/>
        <v>38</v>
      </c>
      <c r="T12" s="332">
        <f t="shared" si="3"/>
        <v>5.1212938005390836</v>
      </c>
      <c r="V12" s="323" t="s">
        <v>133</v>
      </c>
      <c r="W12" s="330">
        <v>363</v>
      </c>
      <c r="X12" s="330">
        <v>14</v>
      </c>
      <c r="Y12" s="330">
        <v>12</v>
      </c>
      <c r="Z12" s="330">
        <v>4</v>
      </c>
      <c r="AA12" s="330">
        <v>2</v>
      </c>
      <c r="AB12" s="331">
        <v>26</v>
      </c>
      <c r="AC12" s="330">
        <f t="shared" si="4"/>
        <v>58</v>
      </c>
      <c r="AD12" s="332">
        <f t="shared" si="5"/>
        <v>15.977961432506888</v>
      </c>
      <c r="AF12" s="323" t="s">
        <v>145</v>
      </c>
      <c r="AG12" s="330">
        <v>693</v>
      </c>
      <c r="AH12" s="330">
        <v>6</v>
      </c>
      <c r="AI12" s="330">
        <v>4</v>
      </c>
      <c r="AJ12" s="330">
        <v>10</v>
      </c>
      <c r="AK12" s="330">
        <v>0</v>
      </c>
      <c r="AL12" s="331">
        <v>20</v>
      </c>
      <c r="AM12" s="330">
        <f t="shared" si="6"/>
        <v>40</v>
      </c>
      <c r="AN12" s="332">
        <f t="shared" si="7"/>
        <v>5.7720057720057723</v>
      </c>
      <c r="AP12" s="323" t="s">
        <v>153</v>
      </c>
      <c r="AQ12" s="330">
        <v>559</v>
      </c>
      <c r="AR12" s="330">
        <v>0</v>
      </c>
      <c r="AS12" s="330">
        <v>10</v>
      </c>
      <c r="AT12" s="330">
        <v>2</v>
      </c>
      <c r="AU12" s="330">
        <v>2</v>
      </c>
      <c r="AV12" s="331">
        <v>12</v>
      </c>
      <c r="AW12" s="330">
        <f t="shared" si="8"/>
        <v>26</v>
      </c>
      <c r="AX12" s="332">
        <f t="shared" si="9"/>
        <v>4.6511627906976747</v>
      </c>
    </row>
    <row r="13" spans="1:50" x14ac:dyDescent="0.25">
      <c r="B13" s="323" t="s">
        <v>116</v>
      </c>
      <c r="C13" s="330">
        <v>862</v>
      </c>
      <c r="D13" s="330">
        <v>0</v>
      </c>
      <c r="E13" s="330">
        <v>10</v>
      </c>
      <c r="F13" s="330">
        <v>12</v>
      </c>
      <c r="G13" s="330">
        <v>0</v>
      </c>
      <c r="H13" s="331">
        <v>40</v>
      </c>
      <c r="I13" s="330">
        <f t="shared" si="0"/>
        <v>62</v>
      </c>
      <c r="J13" s="332">
        <f t="shared" si="1"/>
        <v>7.1925754060324829</v>
      </c>
      <c r="L13" s="323" t="s">
        <v>124</v>
      </c>
      <c r="M13" s="330">
        <v>544</v>
      </c>
      <c r="N13" s="330">
        <v>20</v>
      </c>
      <c r="O13" s="330">
        <v>8</v>
      </c>
      <c r="P13" s="330">
        <v>8</v>
      </c>
      <c r="Q13" s="330">
        <v>8</v>
      </c>
      <c r="R13" s="331">
        <v>44</v>
      </c>
      <c r="S13" s="330">
        <f t="shared" si="2"/>
        <v>88</v>
      </c>
      <c r="T13" s="332">
        <f t="shared" si="3"/>
        <v>16.176470588235293</v>
      </c>
      <c r="V13" s="323" t="s">
        <v>134</v>
      </c>
      <c r="W13" s="330">
        <v>359</v>
      </c>
      <c r="X13" s="330">
        <v>2</v>
      </c>
      <c r="Y13" s="330">
        <v>0</v>
      </c>
      <c r="Z13" s="330">
        <v>0</v>
      </c>
      <c r="AA13" s="330">
        <v>0</v>
      </c>
      <c r="AB13" s="331">
        <v>14</v>
      </c>
      <c r="AC13" s="330">
        <f t="shared" si="4"/>
        <v>16</v>
      </c>
      <c r="AD13" s="332">
        <f t="shared" si="5"/>
        <v>4.4568245125348191</v>
      </c>
      <c r="AF13" s="323" t="s">
        <v>146</v>
      </c>
      <c r="AG13" s="330">
        <v>651</v>
      </c>
      <c r="AH13" s="330">
        <v>0</v>
      </c>
      <c r="AI13" s="330">
        <v>0</v>
      </c>
      <c r="AJ13" s="330">
        <v>8</v>
      </c>
      <c r="AK13" s="330">
        <v>0</v>
      </c>
      <c r="AL13" s="331">
        <v>24</v>
      </c>
      <c r="AM13" s="330">
        <f t="shared" si="6"/>
        <v>32</v>
      </c>
      <c r="AN13" s="332">
        <f t="shared" si="7"/>
        <v>4.9155145929339481</v>
      </c>
      <c r="AP13" s="323" t="s">
        <v>154</v>
      </c>
      <c r="AQ13" s="330">
        <v>494</v>
      </c>
      <c r="AR13" s="330">
        <v>0</v>
      </c>
      <c r="AS13" s="330">
        <v>2</v>
      </c>
      <c r="AT13" s="330">
        <v>0</v>
      </c>
      <c r="AU13" s="330">
        <v>0</v>
      </c>
      <c r="AV13" s="331">
        <v>6</v>
      </c>
      <c r="AW13" s="330">
        <f t="shared" si="8"/>
        <v>8</v>
      </c>
      <c r="AX13" s="332">
        <f t="shared" si="9"/>
        <v>1.6194331983805668</v>
      </c>
    </row>
    <row r="14" spans="1:50" x14ac:dyDescent="0.25">
      <c r="B14" s="323" t="s">
        <v>110</v>
      </c>
      <c r="C14" s="330">
        <v>848</v>
      </c>
      <c r="D14" s="330">
        <v>16</v>
      </c>
      <c r="E14" s="330">
        <v>6</v>
      </c>
      <c r="F14" s="330">
        <v>4</v>
      </c>
      <c r="G14" s="330">
        <v>8</v>
      </c>
      <c r="H14" s="331">
        <v>14</v>
      </c>
      <c r="I14" s="330">
        <f t="shared" si="0"/>
        <v>48</v>
      </c>
      <c r="J14" s="332">
        <f t="shared" si="1"/>
        <v>5.6603773584905657</v>
      </c>
      <c r="L14" s="323"/>
      <c r="M14" s="330"/>
      <c r="N14" s="330"/>
      <c r="O14" s="330"/>
      <c r="P14" s="330"/>
      <c r="Q14" s="330"/>
      <c r="R14" s="331"/>
      <c r="S14" s="330"/>
      <c r="T14" s="332"/>
      <c r="V14" s="323" t="s">
        <v>135</v>
      </c>
      <c r="W14" s="330">
        <v>353</v>
      </c>
      <c r="X14" s="330">
        <v>6</v>
      </c>
      <c r="Y14" s="330">
        <v>8</v>
      </c>
      <c r="Z14" s="330">
        <v>6</v>
      </c>
      <c r="AA14" s="330">
        <v>0</v>
      </c>
      <c r="AB14" s="331">
        <v>20</v>
      </c>
      <c r="AC14" s="330">
        <f t="shared" si="4"/>
        <v>40</v>
      </c>
      <c r="AD14" s="332">
        <f t="shared" si="5"/>
        <v>11.3314447592068</v>
      </c>
      <c r="AF14" s="323" t="s">
        <v>147</v>
      </c>
      <c r="AG14" s="330">
        <v>591</v>
      </c>
      <c r="AH14" s="330">
        <v>2</v>
      </c>
      <c r="AI14" s="330">
        <v>0</v>
      </c>
      <c r="AJ14" s="330">
        <v>2</v>
      </c>
      <c r="AK14" s="330">
        <v>0</v>
      </c>
      <c r="AL14" s="331">
        <v>6</v>
      </c>
      <c r="AM14" s="330">
        <f t="shared" si="6"/>
        <v>10</v>
      </c>
      <c r="AN14" s="332">
        <f t="shared" si="7"/>
        <v>1.6920473773265652</v>
      </c>
      <c r="AP14" s="323" t="s">
        <v>155</v>
      </c>
      <c r="AQ14" s="330">
        <v>471</v>
      </c>
      <c r="AR14" s="330">
        <v>0</v>
      </c>
      <c r="AS14" s="330">
        <v>2</v>
      </c>
      <c r="AT14" s="330">
        <v>0</v>
      </c>
      <c r="AU14" s="330">
        <v>0</v>
      </c>
      <c r="AV14" s="331">
        <v>8</v>
      </c>
      <c r="AW14" s="330">
        <f t="shared" si="8"/>
        <v>10</v>
      </c>
      <c r="AX14" s="332">
        <f t="shared" si="9"/>
        <v>2.1231422505307855</v>
      </c>
    </row>
    <row r="15" spans="1:50" x14ac:dyDescent="0.25">
      <c r="B15" s="323" t="s">
        <v>111</v>
      </c>
      <c r="C15" s="330">
        <v>838</v>
      </c>
      <c r="D15" s="330">
        <v>2</v>
      </c>
      <c r="E15" s="330">
        <v>2</v>
      </c>
      <c r="F15" s="330">
        <v>10</v>
      </c>
      <c r="G15" s="330">
        <v>4</v>
      </c>
      <c r="H15" s="331">
        <v>20</v>
      </c>
      <c r="I15" s="330">
        <f t="shared" si="0"/>
        <v>38</v>
      </c>
      <c r="J15" s="332">
        <f t="shared" si="1"/>
        <v>4.5346062052505962</v>
      </c>
      <c r="L15" s="326" t="s">
        <v>9</v>
      </c>
      <c r="M15" s="336">
        <f>SUM(M6:M13)</f>
        <v>8378</v>
      </c>
      <c r="N15" s="336">
        <f>SUM(N6:N13)</f>
        <v>326</v>
      </c>
      <c r="O15" s="336">
        <f t="shared" ref="O15:S15" si="10">SUM(O6:O13)</f>
        <v>140</v>
      </c>
      <c r="P15" s="336">
        <f t="shared" si="10"/>
        <v>126</v>
      </c>
      <c r="Q15" s="336">
        <f t="shared" si="10"/>
        <v>96</v>
      </c>
      <c r="R15" s="336">
        <f t="shared" si="10"/>
        <v>576</v>
      </c>
      <c r="S15" s="336">
        <f t="shared" si="10"/>
        <v>1264</v>
      </c>
      <c r="T15" s="337">
        <f>S15/M15%</f>
        <v>15.087132967295297</v>
      </c>
      <c r="V15" s="323" t="s">
        <v>136</v>
      </c>
      <c r="W15" s="330">
        <v>332</v>
      </c>
      <c r="X15" s="330">
        <v>0</v>
      </c>
      <c r="Y15" s="330">
        <v>0</v>
      </c>
      <c r="Z15" s="330">
        <v>8</v>
      </c>
      <c r="AA15" s="330">
        <v>2</v>
      </c>
      <c r="AB15" s="331">
        <v>6</v>
      </c>
      <c r="AC15" s="330">
        <f t="shared" si="4"/>
        <v>16</v>
      </c>
      <c r="AD15" s="332">
        <f t="shared" si="5"/>
        <v>4.8192771084337354</v>
      </c>
      <c r="AF15" s="323"/>
      <c r="AG15" s="310"/>
      <c r="AH15" s="330"/>
      <c r="AI15" s="330"/>
      <c r="AJ15" s="330"/>
      <c r="AK15" s="330"/>
      <c r="AL15" s="331"/>
      <c r="AM15" s="330"/>
      <c r="AN15" s="331"/>
      <c r="AP15" s="323" t="s">
        <v>156</v>
      </c>
      <c r="AQ15" s="330">
        <v>465</v>
      </c>
      <c r="AR15" s="330">
        <v>0</v>
      </c>
      <c r="AS15" s="330">
        <v>0</v>
      </c>
      <c r="AT15" s="330">
        <v>0</v>
      </c>
      <c r="AU15" s="330">
        <v>0</v>
      </c>
      <c r="AV15" s="331">
        <v>2</v>
      </c>
      <c r="AW15" s="330">
        <f t="shared" si="8"/>
        <v>2</v>
      </c>
      <c r="AX15" s="332">
        <f t="shared" si="9"/>
        <v>0.43010752688172038</v>
      </c>
    </row>
    <row r="16" spans="1:50" x14ac:dyDescent="0.25">
      <c r="B16" s="323" t="s">
        <v>112</v>
      </c>
      <c r="C16" s="330">
        <v>833</v>
      </c>
      <c r="D16" s="330">
        <v>2</v>
      </c>
      <c r="E16" s="330">
        <v>10</v>
      </c>
      <c r="F16" s="330">
        <v>2</v>
      </c>
      <c r="G16" s="330">
        <v>8</v>
      </c>
      <c r="H16" s="331">
        <v>32</v>
      </c>
      <c r="I16" s="330">
        <f t="shared" si="0"/>
        <v>54</v>
      </c>
      <c r="J16" s="332">
        <f t="shared" si="1"/>
        <v>6.4825930372148859</v>
      </c>
      <c r="V16" s="323" t="s">
        <v>137</v>
      </c>
      <c r="W16" s="330">
        <v>329</v>
      </c>
      <c r="X16" s="330">
        <v>4</v>
      </c>
      <c r="Y16" s="330">
        <v>2</v>
      </c>
      <c r="Z16" s="330">
        <v>0</v>
      </c>
      <c r="AA16" s="330">
        <v>0</v>
      </c>
      <c r="AB16" s="331">
        <v>20</v>
      </c>
      <c r="AC16" s="330">
        <f t="shared" si="4"/>
        <v>26</v>
      </c>
      <c r="AD16" s="332">
        <f t="shared" si="5"/>
        <v>7.9027355623100304</v>
      </c>
      <c r="AF16" s="326" t="s">
        <v>9</v>
      </c>
      <c r="AG16" s="336">
        <f>SUM(AG6:AG14)</f>
        <v>10131</v>
      </c>
      <c r="AH16" s="336">
        <f t="shared" ref="AH16:AM16" si="11">SUM(AH6:AH15)</f>
        <v>126</v>
      </c>
      <c r="AI16" s="336">
        <f t="shared" si="11"/>
        <v>26</v>
      </c>
      <c r="AJ16" s="336">
        <f t="shared" si="11"/>
        <v>182</v>
      </c>
      <c r="AK16" s="336">
        <f t="shared" si="11"/>
        <v>10</v>
      </c>
      <c r="AL16" s="336">
        <f t="shared" si="11"/>
        <v>420</v>
      </c>
      <c r="AM16" s="336">
        <f t="shared" si="11"/>
        <v>764</v>
      </c>
      <c r="AN16" s="337">
        <f>AM16/AG16%</f>
        <v>7.5412101470733388</v>
      </c>
      <c r="AP16" s="323"/>
      <c r="AQ16" s="310"/>
      <c r="AR16" s="330"/>
      <c r="AS16" s="330"/>
      <c r="AT16" s="330"/>
      <c r="AU16" s="330"/>
      <c r="AV16" s="331"/>
      <c r="AW16" s="330"/>
      <c r="AX16" s="331"/>
    </row>
    <row r="17" spans="1:50" x14ac:dyDescent="0.25">
      <c r="B17" s="323" t="s">
        <v>113</v>
      </c>
      <c r="C17" s="330">
        <v>805</v>
      </c>
      <c r="D17" s="330">
        <v>8</v>
      </c>
      <c r="E17" s="330">
        <v>20</v>
      </c>
      <c r="F17" s="330">
        <v>12</v>
      </c>
      <c r="G17" s="330">
        <v>2</v>
      </c>
      <c r="H17" s="331">
        <v>36</v>
      </c>
      <c r="I17" s="330">
        <f t="shared" si="0"/>
        <v>78</v>
      </c>
      <c r="J17" s="332">
        <f t="shared" si="1"/>
        <v>9.6894409937888195</v>
      </c>
      <c r="V17" s="323" t="s">
        <v>138</v>
      </c>
      <c r="W17" s="330">
        <v>271</v>
      </c>
      <c r="X17" s="330">
        <v>2</v>
      </c>
      <c r="Y17" s="330">
        <v>2</v>
      </c>
      <c r="Z17" s="330">
        <v>2</v>
      </c>
      <c r="AA17" s="330">
        <v>0</v>
      </c>
      <c r="AB17" s="331">
        <v>4</v>
      </c>
      <c r="AC17" s="330">
        <f t="shared" si="4"/>
        <v>10</v>
      </c>
      <c r="AD17" s="332">
        <f t="shared" si="5"/>
        <v>3.6900369003690039</v>
      </c>
      <c r="AP17" s="326" t="s">
        <v>9</v>
      </c>
      <c r="AQ17" s="336">
        <f>SUM(AQ6:AQ15)</f>
        <v>8169</v>
      </c>
      <c r="AR17" s="336">
        <f t="shared" ref="AR17:AW17" si="12">SUM(AR6:AR16)</f>
        <v>80</v>
      </c>
      <c r="AS17" s="336">
        <f t="shared" si="12"/>
        <v>78</v>
      </c>
      <c r="AT17" s="336">
        <f t="shared" si="12"/>
        <v>20</v>
      </c>
      <c r="AU17" s="336">
        <f t="shared" si="12"/>
        <v>14</v>
      </c>
      <c r="AV17" s="336">
        <f t="shared" si="12"/>
        <v>224</v>
      </c>
      <c r="AW17" s="336">
        <f t="shared" si="12"/>
        <v>416</v>
      </c>
      <c r="AX17" s="337">
        <f>AW17/AQ17%</f>
        <v>5.0924225731423673</v>
      </c>
    </row>
    <row r="18" spans="1:50" x14ac:dyDescent="0.25">
      <c r="B18" s="323" t="s">
        <v>114</v>
      </c>
      <c r="C18" s="330">
        <v>737</v>
      </c>
      <c r="D18" s="330">
        <v>2</v>
      </c>
      <c r="E18" s="330">
        <v>6</v>
      </c>
      <c r="F18" s="330">
        <v>4</v>
      </c>
      <c r="G18" s="330">
        <v>0</v>
      </c>
      <c r="H18" s="331">
        <v>20</v>
      </c>
      <c r="I18" s="330">
        <f t="shared" si="0"/>
        <v>32</v>
      </c>
      <c r="J18" s="332">
        <f t="shared" si="1"/>
        <v>4.3419267299864313</v>
      </c>
      <c r="V18" s="323"/>
      <c r="W18" s="310"/>
      <c r="X18" s="330"/>
      <c r="Y18" s="330"/>
      <c r="Z18" s="330"/>
      <c r="AA18" s="330"/>
      <c r="AB18" s="331"/>
      <c r="AC18" s="330"/>
      <c r="AD18" s="331"/>
    </row>
    <row r="19" spans="1:50" x14ac:dyDescent="0.25">
      <c r="B19" s="323" t="s">
        <v>115</v>
      </c>
      <c r="C19" s="330">
        <v>659</v>
      </c>
      <c r="D19" s="330">
        <v>4</v>
      </c>
      <c r="E19" s="330">
        <v>2</v>
      </c>
      <c r="F19" s="330">
        <v>4</v>
      </c>
      <c r="G19" s="330">
        <v>0</v>
      </c>
      <c r="H19" s="331">
        <v>8</v>
      </c>
      <c r="I19" s="330">
        <f t="shared" si="0"/>
        <v>18</v>
      </c>
      <c r="J19" s="332">
        <f>I19/C19%</f>
        <v>2.7314112291350532</v>
      </c>
      <c r="V19" s="326" t="s">
        <v>9</v>
      </c>
      <c r="W19" s="336">
        <f>SUM(W6:W17)</f>
        <v>5988</v>
      </c>
      <c r="X19" s="336">
        <f t="shared" ref="X19:AC19" si="13">SUM(X6:X18)</f>
        <v>148</v>
      </c>
      <c r="Y19" s="336">
        <f t="shared" si="13"/>
        <v>96</v>
      </c>
      <c r="Z19" s="336">
        <f t="shared" si="13"/>
        <v>182</v>
      </c>
      <c r="AA19" s="336">
        <f t="shared" si="13"/>
        <v>28</v>
      </c>
      <c r="AB19" s="336">
        <f t="shared" si="13"/>
        <v>394</v>
      </c>
      <c r="AC19" s="336">
        <f t="shared" si="13"/>
        <v>848</v>
      </c>
      <c r="AD19" s="337">
        <f>AC19/W19%</f>
        <v>14.161656646626586</v>
      </c>
    </row>
    <row r="20" spans="1:50" x14ac:dyDescent="0.25">
      <c r="B20" s="323"/>
      <c r="C20" s="310"/>
      <c r="D20" s="330"/>
      <c r="E20" s="330"/>
      <c r="F20" s="330"/>
      <c r="G20" s="330"/>
      <c r="H20" s="331"/>
      <c r="I20" s="330"/>
      <c r="J20" s="331"/>
    </row>
    <row r="21" spans="1:50" x14ac:dyDescent="0.25">
      <c r="B21" s="326" t="s">
        <v>9</v>
      </c>
      <c r="C21" s="336">
        <f>SUM(C6:C19)</f>
        <v>15545</v>
      </c>
      <c r="D21" s="336">
        <f>SUM(D6:D20)</f>
        <v>258</v>
      </c>
      <c r="E21" s="336">
        <f t="shared" ref="E21:I21" si="14">SUM(E6:E20)</f>
        <v>208</v>
      </c>
      <c r="F21" s="336">
        <f t="shared" si="14"/>
        <v>246</v>
      </c>
      <c r="G21" s="336">
        <f t="shared" si="14"/>
        <v>128</v>
      </c>
      <c r="H21" s="336">
        <f t="shared" si="14"/>
        <v>854</v>
      </c>
      <c r="I21" s="336">
        <f t="shared" si="14"/>
        <v>1694</v>
      </c>
      <c r="J21" s="337">
        <f>I21/C21%</f>
        <v>10.897394660662593</v>
      </c>
    </row>
    <row r="24" spans="1:50" ht="25.5" customHeight="1" x14ac:dyDescent="0.25">
      <c r="A24" s="328" t="s">
        <v>159</v>
      </c>
      <c r="B24" s="420" t="s">
        <v>100</v>
      </c>
      <c r="C24" s="422" t="s">
        <v>101</v>
      </c>
      <c r="D24" s="424" t="s">
        <v>103</v>
      </c>
      <c r="E24" s="426"/>
      <c r="F24" s="426"/>
      <c r="G24" s="426"/>
      <c r="H24" s="425"/>
      <c r="I24" s="424"/>
      <c r="J24" s="425"/>
      <c r="K24" s="339" t="s">
        <v>19</v>
      </c>
      <c r="L24" s="420" t="s">
        <v>100</v>
      </c>
      <c r="M24" s="422" t="s">
        <v>101</v>
      </c>
      <c r="N24" s="424" t="s">
        <v>103</v>
      </c>
      <c r="O24" s="426"/>
      <c r="P24" s="426"/>
      <c r="Q24" s="426"/>
      <c r="R24" s="425"/>
      <c r="S24" s="424"/>
      <c r="T24" s="425"/>
      <c r="U24" s="339" t="s">
        <v>90</v>
      </c>
      <c r="V24" s="420" t="s">
        <v>100</v>
      </c>
      <c r="W24" s="422" t="s">
        <v>101</v>
      </c>
      <c r="X24" s="424" t="s">
        <v>103</v>
      </c>
      <c r="Y24" s="426"/>
      <c r="Z24" s="426"/>
      <c r="AA24" s="426"/>
      <c r="AB24" s="425"/>
      <c r="AC24" s="424"/>
      <c r="AD24" s="425"/>
      <c r="AE24" s="339" t="s">
        <v>49</v>
      </c>
      <c r="AF24" s="420" t="s">
        <v>100</v>
      </c>
      <c r="AG24" s="422" t="s">
        <v>101</v>
      </c>
      <c r="AH24" s="424" t="s">
        <v>103</v>
      </c>
      <c r="AI24" s="426"/>
      <c r="AJ24" s="426"/>
      <c r="AK24" s="426"/>
      <c r="AL24" s="425"/>
      <c r="AM24" s="424"/>
      <c r="AN24" s="425"/>
      <c r="AO24" s="339" t="s">
        <v>21</v>
      </c>
      <c r="AP24" s="420" t="s">
        <v>100</v>
      </c>
      <c r="AQ24" s="422" t="s">
        <v>101</v>
      </c>
      <c r="AR24" s="424" t="s">
        <v>103</v>
      </c>
      <c r="AS24" s="426"/>
      <c r="AT24" s="426"/>
      <c r="AU24" s="426"/>
      <c r="AV24" s="425"/>
      <c r="AW24" s="424"/>
      <c r="AX24" s="425"/>
    </row>
    <row r="25" spans="1:50" x14ac:dyDescent="0.25">
      <c r="B25" s="421"/>
      <c r="C25" s="423"/>
      <c r="D25" s="327" t="s">
        <v>19</v>
      </c>
      <c r="E25" s="327" t="s">
        <v>90</v>
      </c>
      <c r="F25" s="327" t="s">
        <v>49</v>
      </c>
      <c r="G25" s="327" t="s">
        <v>21</v>
      </c>
      <c r="H25" s="321" t="s">
        <v>102</v>
      </c>
      <c r="I25" s="322" t="s">
        <v>9</v>
      </c>
      <c r="J25" s="321" t="s">
        <v>22</v>
      </c>
      <c r="L25" s="421"/>
      <c r="M25" s="423"/>
      <c r="N25" s="327" t="s">
        <v>18</v>
      </c>
      <c r="O25" s="327" t="s">
        <v>90</v>
      </c>
      <c r="P25" s="327" t="s">
        <v>49</v>
      </c>
      <c r="Q25" s="327" t="s">
        <v>21</v>
      </c>
      <c r="R25" s="321" t="s">
        <v>102</v>
      </c>
      <c r="S25" s="322" t="s">
        <v>9</v>
      </c>
      <c r="T25" s="321" t="s">
        <v>22</v>
      </c>
      <c r="V25" s="421"/>
      <c r="W25" s="423"/>
      <c r="X25" s="327" t="s">
        <v>18</v>
      </c>
      <c r="Y25" s="327" t="s">
        <v>19</v>
      </c>
      <c r="Z25" s="327" t="s">
        <v>49</v>
      </c>
      <c r="AA25" s="327" t="s">
        <v>21</v>
      </c>
      <c r="AB25" s="321" t="s">
        <v>102</v>
      </c>
      <c r="AC25" s="322" t="s">
        <v>9</v>
      </c>
      <c r="AD25" s="321" t="s">
        <v>22</v>
      </c>
      <c r="AF25" s="421"/>
      <c r="AG25" s="423"/>
      <c r="AH25" s="327" t="s">
        <v>18</v>
      </c>
      <c r="AI25" s="327" t="s">
        <v>19</v>
      </c>
      <c r="AJ25" s="327" t="s">
        <v>90</v>
      </c>
      <c r="AK25" s="327" t="s">
        <v>21</v>
      </c>
      <c r="AL25" s="321" t="s">
        <v>102</v>
      </c>
      <c r="AM25" s="322" t="s">
        <v>9</v>
      </c>
      <c r="AN25" s="321" t="s">
        <v>22</v>
      </c>
      <c r="AP25" s="421"/>
      <c r="AQ25" s="423"/>
      <c r="AR25" s="327" t="s">
        <v>18</v>
      </c>
      <c r="AS25" s="327" t="s">
        <v>19</v>
      </c>
      <c r="AT25" s="327" t="s">
        <v>90</v>
      </c>
      <c r="AU25" s="327" t="s">
        <v>49</v>
      </c>
      <c r="AV25" s="321" t="s">
        <v>102</v>
      </c>
      <c r="AW25" s="322" t="s">
        <v>9</v>
      </c>
      <c r="AX25" s="321" t="s">
        <v>22</v>
      </c>
    </row>
    <row r="26" spans="1:50" x14ac:dyDescent="0.25">
      <c r="B26" s="323"/>
      <c r="C26" s="323"/>
      <c r="D26" s="323"/>
      <c r="E26" s="323"/>
      <c r="F26" s="323"/>
      <c r="G26" s="323"/>
      <c r="H26" s="324"/>
      <c r="I26" s="323"/>
      <c r="J26" s="324"/>
      <c r="L26" s="323"/>
      <c r="M26" s="323"/>
      <c r="N26" s="323"/>
      <c r="O26" s="323"/>
      <c r="P26" s="323"/>
      <c r="Q26" s="323"/>
      <c r="R26" s="324"/>
      <c r="S26" s="323"/>
      <c r="T26" s="324"/>
      <c r="V26" s="323"/>
      <c r="W26" s="323"/>
      <c r="X26" s="323"/>
      <c r="Y26" s="323"/>
      <c r="Z26" s="323"/>
      <c r="AA26" s="323"/>
      <c r="AB26" s="324"/>
      <c r="AC26" s="323"/>
      <c r="AD26" s="324"/>
      <c r="AF26" s="323"/>
      <c r="AG26" s="323"/>
      <c r="AH26" s="323"/>
      <c r="AI26" s="323"/>
      <c r="AJ26" s="323"/>
      <c r="AK26" s="323"/>
      <c r="AL26" s="324"/>
      <c r="AM26" s="323"/>
      <c r="AN26" s="324"/>
      <c r="AP26" s="323"/>
      <c r="AQ26" s="323"/>
      <c r="AR26" s="323"/>
      <c r="AS26" s="323"/>
      <c r="AT26" s="323"/>
      <c r="AU26" s="323"/>
      <c r="AV26" s="324"/>
      <c r="AW26" s="323"/>
      <c r="AX26" s="324"/>
    </row>
    <row r="27" spans="1:50" x14ac:dyDescent="0.25">
      <c r="B27" s="323" t="s">
        <v>158</v>
      </c>
      <c r="C27" s="330">
        <v>690</v>
      </c>
      <c r="D27" s="330">
        <v>18</v>
      </c>
      <c r="E27" s="330">
        <v>4</v>
      </c>
      <c r="F27" s="330">
        <v>4</v>
      </c>
      <c r="G27" s="330">
        <v>16</v>
      </c>
      <c r="H27" s="331">
        <v>50</v>
      </c>
      <c r="I27" s="330">
        <f>SUM(D27:H27)</f>
        <v>92</v>
      </c>
      <c r="J27" s="332">
        <f>I27/C27%</f>
        <v>13.333333333333332</v>
      </c>
      <c r="L27" s="325" t="s">
        <v>166</v>
      </c>
      <c r="M27" s="333">
        <v>548</v>
      </c>
      <c r="N27" s="333">
        <v>4</v>
      </c>
      <c r="O27" s="333">
        <v>4</v>
      </c>
      <c r="P27" s="333">
        <v>6</v>
      </c>
      <c r="Q27" s="333">
        <v>6</v>
      </c>
      <c r="R27" s="340">
        <v>54</v>
      </c>
      <c r="S27" s="333">
        <f>SUM(N27:R27)</f>
        <v>74</v>
      </c>
      <c r="T27" s="346">
        <f>S27/M27%</f>
        <v>13.503649635036496</v>
      </c>
      <c r="V27" s="325" t="s">
        <v>171</v>
      </c>
      <c r="W27" s="333">
        <v>417</v>
      </c>
      <c r="X27" s="333">
        <v>14</v>
      </c>
      <c r="Y27" s="333">
        <v>10</v>
      </c>
      <c r="Z27" s="333">
        <v>24</v>
      </c>
      <c r="AA27" s="333">
        <v>0</v>
      </c>
      <c r="AB27" s="340">
        <v>28</v>
      </c>
      <c r="AC27" s="333">
        <f>SUM(X27:AB27)</f>
        <v>76</v>
      </c>
      <c r="AD27" s="346">
        <f>AC27/W27%</f>
        <v>18.225419664268586</v>
      </c>
      <c r="AF27" s="342" t="s">
        <v>178</v>
      </c>
      <c r="AG27" s="333">
        <v>474</v>
      </c>
      <c r="AH27" s="333">
        <v>4</v>
      </c>
      <c r="AI27" s="333">
        <v>0</v>
      </c>
      <c r="AJ27" s="333">
        <v>8</v>
      </c>
      <c r="AK27" s="333">
        <v>0</v>
      </c>
      <c r="AL27" s="340">
        <v>12</v>
      </c>
      <c r="AM27" s="333">
        <f>SUM(AH27:AL27)</f>
        <v>24</v>
      </c>
      <c r="AN27" s="346">
        <f>AM27/AG27%</f>
        <v>5.0632911392405058</v>
      </c>
      <c r="AP27" s="341" t="s">
        <v>182</v>
      </c>
      <c r="AQ27" s="330">
        <v>1047</v>
      </c>
      <c r="AR27" s="330">
        <v>6</v>
      </c>
      <c r="AS27" s="330">
        <v>2</v>
      </c>
      <c r="AT27" s="330">
        <v>2</v>
      </c>
      <c r="AU27" s="330">
        <v>2</v>
      </c>
      <c r="AV27" s="331">
        <v>38</v>
      </c>
      <c r="AW27" s="330">
        <f>SUM(AR27:AV27)</f>
        <v>50</v>
      </c>
      <c r="AX27" s="332">
        <f>AW27/AQ27%</f>
        <v>4.7755491881566376</v>
      </c>
    </row>
    <row r="28" spans="1:50" x14ac:dyDescent="0.25">
      <c r="B28" s="325" t="s">
        <v>160</v>
      </c>
      <c r="C28" s="333">
        <v>523</v>
      </c>
      <c r="D28" s="333">
        <v>0</v>
      </c>
      <c r="E28" s="333">
        <v>2</v>
      </c>
      <c r="F28" s="333">
        <v>12</v>
      </c>
      <c r="G28" s="333">
        <v>0</v>
      </c>
      <c r="H28" s="340">
        <v>24</v>
      </c>
      <c r="I28" s="333">
        <f t="shared" ref="I28:I33" si="15">SUM(D28:H28)</f>
        <v>38</v>
      </c>
      <c r="J28" s="346">
        <f t="shared" ref="J28:J33" si="16">I28/C28%</f>
        <v>7.2657743785850855</v>
      </c>
      <c r="L28" s="323" t="s">
        <v>167</v>
      </c>
      <c r="M28" s="330">
        <v>299</v>
      </c>
      <c r="N28" s="330">
        <v>2</v>
      </c>
      <c r="O28" s="330">
        <v>4</v>
      </c>
      <c r="P28" s="330">
        <v>0</v>
      </c>
      <c r="Q28" s="330">
        <v>2</v>
      </c>
      <c r="R28" s="331">
        <v>16</v>
      </c>
      <c r="S28" s="330">
        <f t="shared" ref="S28:S31" si="17">SUM(N28:R28)</f>
        <v>24</v>
      </c>
      <c r="T28" s="332">
        <f t="shared" ref="T28:T31" si="18">S28/M28%</f>
        <v>8.0267558528428093</v>
      </c>
      <c r="V28" s="323" t="s">
        <v>172</v>
      </c>
      <c r="W28" s="330">
        <v>153</v>
      </c>
      <c r="X28" s="330">
        <v>0</v>
      </c>
      <c r="Y28" s="330">
        <v>2</v>
      </c>
      <c r="Z28" s="330">
        <v>6</v>
      </c>
      <c r="AA28" s="330">
        <v>0</v>
      </c>
      <c r="AB28" s="331">
        <v>4</v>
      </c>
      <c r="AC28" s="330">
        <f t="shared" ref="AC28:AC33" si="19">SUM(X28:AB28)</f>
        <v>12</v>
      </c>
      <c r="AD28" s="332">
        <f t="shared" ref="AD28:AD33" si="20">AC28/W28%</f>
        <v>7.8431372549019605</v>
      </c>
      <c r="AF28" s="323" t="s">
        <v>179</v>
      </c>
      <c r="AG28" s="330">
        <v>351</v>
      </c>
      <c r="AH28" s="330">
        <v>0</v>
      </c>
      <c r="AI28" s="330">
        <v>2</v>
      </c>
      <c r="AJ28" s="330">
        <v>0</v>
      </c>
      <c r="AK28" s="330">
        <v>0</v>
      </c>
      <c r="AL28" s="331">
        <v>10</v>
      </c>
      <c r="AM28" s="330">
        <f t="shared" ref="AM28:AM30" si="21">SUM(AH28:AL28)</f>
        <v>12</v>
      </c>
      <c r="AN28" s="332">
        <f t="shared" ref="AN28:AN30" si="22">AM28/AG28%</f>
        <v>3.4188034188034191</v>
      </c>
      <c r="AP28" s="325" t="s">
        <v>183</v>
      </c>
      <c r="AQ28" s="333">
        <v>1044</v>
      </c>
      <c r="AR28" s="333">
        <v>8</v>
      </c>
      <c r="AS28" s="333">
        <v>2</v>
      </c>
      <c r="AT28" s="333">
        <v>0</v>
      </c>
      <c r="AU28" s="333">
        <v>0</v>
      </c>
      <c r="AV28" s="340">
        <v>38</v>
      </c>
      <c r="AW28" s="333">
        <f t="shared" ref="AW28:AW30" si="23">SUM(AR28:AV28)</f>
        <v>48</v>
      </c>
      <c r="AX28" s="346">
        <f t="shared" ref="AX28:AX30" si="24">AW28/AQ28%</f>
        <v>4.597701149425288</v>
      </c>
    </row>
    <row r="29" spans="1:50" x14ac:dyDescent="0.25">
      <c r="B29" s="323" t="s">
        <v>161</v>
      </c>
      <c r="C29" s="330">
        <v>400</v>
      </c>
      <c r="D29" s="330">
        <v>20</v>
      </c>
      <c r="E29" s="330">
        <v>2</v>
      </c>
      <c r="F29" s="330">
        <v>6</v>
      </c>
      <c r="G29" s="330">
        <v>10</v>
      </c>
      <c r="H29" s="330">
        <v>24</v>
      </c>
      <c r="I29" s="330">
        <f t="shared" si="15"/>
        <v>62</v>
      </c>
      <c r="J29" s="347">
        <f t="shared" si="16"/>
        <v>15.5</v>
      </c>
      <c r="L29" s="323" t="s">
        <v>168</v>
      </c>
      <c r="M29" s="330">
        <v>289</v>
      </c>
      <c r="N29" s="330">
        <v>4</v>
      </c>
      <c r="O29" s="330">
        <v>0</v>
      </c>
      <c r="P29" s="330">
        <v>0</v>
      </c>
      <c r="Q29" s="330">
        <v>10</v>
      </c>
      <c r="R29" s="330">
        <v>20</v>
      </c>
      <c r="S29" s="330">
        <f t="shared" si="17"/>
        <v>34</v>
      </c>
      <c r="T29" s="347">
        <f t="shared" si="18"/>
        <v>11.76470588235294</v>
      </c>
      <c r="V29" s="323" t="s">
        <v>173</v>
      </c>
      <c r="W29" s="330">
        <v>136</v>
      </c>
      <c r="X29" s="330">
        <v>0</v>
      </c>
      <c r="Y29" s="330">
        <v>0</v>
      </c>
      <c r="Z29" s="330">
        <v>0</v>
      </c>
      <c r="AA29" s="330">
        <v>2</v>
      </c>
      <c r="AB29" s="330">
        <v>2</v>
      </c>
      <c r="AC29" s="330">
        <f t="shared" si="19"/>
        <v>4</v>
      </c>
      <c r="AD29" s="347">
        <f t="shared" si="20"/>
        <v>2.9411764705882351</v>
      </c>
      <c r="AF29" s="323" t="s">
        <v>180</v>
      </c>
      <c r="AG29" s="330">
        <v>313</v>
      </c>
      <c r="AH29" s="330">
        <v>0</v>
      </c>
      <c r="AI29" s="330">
        <v>0</v>
      </c>
      <c r="AJ29" s="330">
        <v>0</v>
      </c>
      <c r="AK29" s="330">
        <v>0</v>
      </c>
      <c r="AL29" s="330">
        <v>2</v>
      </c>
      <c r="AM29" s="330">
        <f t="shared" si="21"/>
        <v>2</v>
      </c>
      <c r="AN29" s="347">
        <f t="shared" si="22"/>
        <v>0.63897763578274758</v>
      </c>
      <c r="AP29" s="323" t="s">
        <v>184</v>
      </c>
      <c r="AQ29" s="330">
        <v>1025</v>
      </c>
      <c r="AR29" s="330">
        <v>2</v>
      </c>
      <c r="AS29" s="330">
        <v>0</v>
      </c>
      <c r="AT29" s="330">
        <v>0</v>
      </c>
      <c r="AU29" s="330">
        <v>2</v>
      </c>
      <c r="AV29" s="330">
        <v>34</v>
      </c>
      <c r="AW29" s="330">
        <f t="shared" si="23"/>
        <v>38</v>
      </c>
      <c r="AX29" s="347">
        <f t="shared" si="24"/>
        <v>3.7073170731707319</v>
      </c>
    </row>
    <row r="30" spans="1:50" x14ac:dyDescent="0.25">
      <c r="B30" s="323" t="s">
        <v>162</v>
      </c>
      <c r="C30" s="330">
        <v>324</v>
      </c>
      <c r="D30" s="330">
        <v>4</v>
      </c>
      <c r="E30" s="330">
        <v>0</v>
      </c>
      <c r="F30" s="330">
        <v>2</v>
      </c>
      <c r="G30" s="330">
        <v>12</v>
      </c>
      <c r="H30" s="330">
        <v>12</v>
      </c>
      <c r="I30" s="330">
        <f t="shared" si="15"/>
        <v>30</v>
      </c>
      <c r="J30" s="332">
        <f t="shared" si="16"/>
        <v>9.2592592592592595</v>
      </c>
      <c r="L30" s="323" t="s">
        <v>169</v>
      </c>
      <c r="M30" s="330">
        <v>255</v>
      </c>
      <c r="N30" s="330">
        <v>2</v>
      </c>
      <c r="O30" s="330">
        <v>0</v>
      </c>
      <c r="P30" s="330">
        <v>0</v>
      </c>
      <c r="Q30" s="330">
        <v>18</v>
      </c>
      <c r="R30" s="330">
        <v>20</v>
      </c>
      <c r="S30" s="330">
        <f t="shared" si="17"/>
        <v>40</v>
      </c>
      <c r="T30" s="332">
        <f t="shared" si="18"/>
        <v>15.686274509803923</v>
      </c>
      <c r="V30" s="323" t="s">
        <v>174</v>
      </c>
      <c r="W30" s="330">
        <v>135</v>
      </c>
      <c r="X30" s="330">
        <v>2</v>
      </c>
      <c r="Y30" s="330">
        <v>4</v>
      </c>
      <c r="Z30" s="330">
        <v>2</v>
      </c>
      <c r="AA30" s="330">
        <v>0</v>
      </c>
      <c r="AB30" s="330">
        <v>6</v>
      </c>
      <c r="AC30" s="330">
        <f t="shared" si="19"/>
        <v>14</v>
      </c>
      <c r="AD30" s="332">
        <f t="shared" si="20"/>
        <v>10.37037037037037</v>
      </c>
      <c r="AF30" s="323" t="s">
        <v>181</v>
      </c>
      <c r="AG30" s="330">
        <v>245</v>
      </c>
      <c r="AH30" s="330">
        <v>6</v>
      </c>
      <c r="AI30" s="330">
        <v>0</v>
      </c>
      <c r="AJ30" s="330">
        <v>4</v>
      </c>
      <c r="AK30" s="330">
        <v>0</v>
      </c>
      <c r="AL30" s="330">
        <v>10</v>
      </c>
      <c r="AM30" s="330">
        <f t="shared" si="21"/>
        <v>20</v>
      </c>
      <c r="AN30" s="332">
        <f t="shared" si="22"/>
        <v>8.1632653061224492</v>
      </c>
      <c r="AP30" s="323" t="s">
        <v>185</v>
      </c>
      <c r="AQ30" s="330">
        <v>476</v>
      </c>
      <c r="AR30" s="330">
        <v>2</v>
      </c>
      <c r="AS30" s="330">
        <v>0</v>
      </c>
      <c r="AT30" s="330">
        <v>0</v>
      </c>
      <c r="AU30" s="330">
        <v>0</v>
      </c>
      <c r="AV30" s="330">
        <v>10</v>
      </c>
      <c r="AW30" s="330">
        <f t="shared" si="23"/>
        <v>12</v>
      </c>
      <c r="AX30" s="332">
        <f t="shared" si="24"/>
        <v>2.5210084033613445</v>
      </c>
    </row>
    <row r="31" spans="1:50" x14ac:dyDescent="0.25">
      <c r="B31" s="323" t="s">
        <v>163</v>
      </c>
      <c r="C31" s="330">
        <v>276</v>
      </c>
      <c r="D31" s="330">
        <v>2</v>
      </c>
      <c r="E31" s="330">
        <v>0</v>
      </c>
      <c r="F31" s="330">
        <v>0</v>
      </c>
      <c r="G31" s="330">
        <v>0</v>
      </c>
      <c r="H31" s="331">
        <v>10</v>
      </c>
      <c r="I31" s="330">
        <f t="shared" si="15"/>
        <v>12</v>
      </c>
      <c r="J31" s="332">
        <f t="shared" si="16"/>
        <v>4.3478260869565224</v>
      </c>
      <c r="L31" s="323" t="s">
        <v>170</v>
      </c>
      <c r="M31" s="330">
        <v>155</v>
      </c>
      <c r="N31" s="330">
        <v>0</v>
      </c>
      <c r="O31" s="330">
        <v>2</v>
      </c>
      <c r="P31" s="330">
        <v>0</v>
      </c>
      <c r="Q31" s="330">
        <v>0</v>
      </c>
      <c r="R31" s="331">
        <v>2</v>
      </c>
      <c r="S31" s="330">
        <f t="shared" si="17"/>
        <v>4</v>
      </c>
      <c r="T31" s="332">
        <f t="shared" si="18"/>
        <v>2.5806451612903225</v>
      </c>
      <c r="V31" s="323" t="s">
        <v>175</v>
      </c>
      <c r="W31" s="330">
        <v>124</v>
      </c>
      <c r="X31" s="330">
        <v>2</v>
      </c>
      <c r="Y31" s="330">
        <v>0</v>
      </c>
      <c r="Z31" s="330">
        <v>0</v>
      </c>
      <c r="AA31" s="330">
        <v>0</v>
      </c>
      <c r="AB31" s="331">
        <v>10</v>
      </c>
      <c r="AC31" s="330">
        <f t="shared" si="19"/>
        <v>12</v>
      </c>
      <c r="AD31" s="332">
        <f t="shared" si="20"/>
        <v>9.67741935483871</v>
      </c>
      <c r="AF31" s="323"/>
      <c r="AG31" s="330"/>
      <c r="AH31" s="330"/>
      <c r="AI31" s="330"/>
      <c r="AJ31" s="330"/>
      <c r="AK31" s="330"/>
      <c r="AL31" s="331"/>
      <c r="AM31" s="330"/>
      <c r="AN31" s="332"/>
      <c r="AP31" s="323"/>
      <c r="AQ31" s="330"/>
      <c r="AR31" s="330"/>
      <c r="AS31" s="330"/>
      <c r="AT31" s="330"/>
      <c r="AU31" s="330"/>
      <c r="AV31" s="331"/>
      <c r="AW31" s="330"/>
      <c r="AX31" s="332"/>
    </row>
    <row r="32" spans="1:50" x14ac:dyDescent="0.25">
      <c r="B32" s="323" t="s">
        <v>164</v>
      </c>
      <c r="C32" s="330">
        <v>245</v>
      </c>
      <c r="D32" s="330">
        <v>0</v>
      </c>
      <c r="E32" s="330">
        <v>0</v>
      </c>
      <c r="F32" s="330">
        <v>0</v>
      </c>
      <c r="G32" s="330">
        <v>2</v>
      </c>
      <c r="H32" s="331">
        <v>4</v>
      </c>
      <c r="I32" s="330">
        <f t="shared" si="15"/>
        <v>6</v>
      </c>
      <c r="J32" s="332">
        <f t="shared" si="16"/>
        <v>2.4489795918367343</v>
      </c>
      <c r="L32" s="323"/>
      <c r="M32" s="330"/>
      <c r="N32" s="330"/>
      <c r="O32" s="330"/>
      <c r="P32" s="330"/>
      <c r="Q32" s="330"/>
      <c r="R32" s="331"/>
      <c r="S32" s="330"/>
      <c r="T32" s="332"/>
      <c r="V32" s="323" t="s">
        <v>176</v>
      </c>
      <c r="W32" s="330">
        <v>118</v>
      </c>
      <c r="X32" s="330">
        <v>0</v>
      </c>
      <c r="Y32" s="330">
        <v>0</v>
      </c>
      <c r="Z32" s="330">
        <v>0</v>
      </c>
      <c r="AA32" s="330">
        <v>0</v>
      </c>
      <c r="AB32" s="331">
        <v>2</v>
      </c>
      <c r="AC32" s="330">
        <f t="shared" si="19"/>
        <v>2</v>
      </c>
      <c r="AD32" s="332">
        <f t="shared" si="20"/>
        <v>1.6949152542372883</v>
      </c>
      <c r="AF32" s="326" t="s">
        <v>9</v>
      </c>
      <c r="AG32" s="336">
        <f t="shared" ref="AG32:AM32" si="25">SUM(AG27:AG30)</f>
        <v>1383</v>
      </c>
      <c r="AH32" s="336">
        <f t="shared" si="25"/>
        <v>10</v>
      </c>
      <c r="AI32" s="336">
        <f t="shared" si="25"/>
        <v>2</v>
      </c>
      <c r="AJ32" s="336">
        <f t="shared" si="25"/>
        <v>12</v>
      </c>
      <c r="AK32" s="336">
        <f t="shared" si="25"/>
        <v>0</v>
      </c>
      <c r="AL32" s="336">
        <f t="shared" si="25"/>
        <v>34</v>
      </c>
      <c r="AM32" s="336">
        <f t="shared" si="25"/>
        <v>58</v>
      </c>
      <c r="AN32" s="337">
        <f>AM32/AG32%</f>
        <v>4.1937816341287055</v>
      </c>
      <c r="AP32" s="326" t="s">
        <v>9</v>
      </c>
      <c r="AQ32" s="336">
        <f t="shared" ref="AQ32:AW32" si="26">SUM(AQ27:AQ30)</f>
        <v>3592</v>
      </c>
      <c r="AR32" s="336">
        <f t="shared" si="26"/>
        <v>18</v>
      </c>
      <c r="AS32" s="336">
        <f t="shared" si="26"/>
        <v>4</v>
      </c>
      <c r="AT32" s="336">
        <f t="shared" si="26"/>
        <v>2</v>
      </c>
      <c r="AU32" s="336">
        <f t="shared" si="26"/>
        <v>4</v>
      </c>
      <c r="AV32" s="336">
        <f t="shared" si="26"/>
        <v>120</v>
      </c>
      <c r="AW32" s="336">
        <f t="shared" si="26"/>
        <v>148</v>
      </c>
      <c r="AX32" s="337">
        <f>AW32/AQ32%</f>
        <v>4.1202672605790642</v>
      </c>
    </row>
    <row r="33" spans="1:50" x14ac:dyDescent="0.25">
      <c r="B33" s="323" t="s">
        <v>165</v>
      </c>
      <c r="C33" s="330">
        <v>198</v>
      </c>
      <c r="D33" s="330">
        <v>0</v>
      </c>
      <c r="E33" s="330">
        <v>0</v>
      </c>
      <c r="F33" s="330">
        <v>0</v>
      </c>
      <c r="G33" s="330">
        <v>0</v>
      </c>
      <c r="H33" s="331">
        <v>10</v>
      </c>
      <c r="I33" s="330">
        <f t="shared" si="15"/>
        <v>10</v>
      </c>
      <c r="J33" s="332">
        <f t="shared" si="16"/>
        <v>5.0505050505050502</v>
      </c>
      <c r="L33" s="326" t="s">
        <v>9</v>
      </c>
      <c r="M33" s="336">
        <f t="shared" ref="M33:S33" si="27">SUM(M27:M31)</f>
        <v>1546</v>
      </c>
      <c r="N33" s="336">
        <f t="shared" si="27"/>
        <v>12</v>
      </c>
      <c r="O33" s="336">
        <f t="shared" si="27"/>
        <v>10</v>
      </c>
      <c r="P33" s="336">
        <f t="shared" si="27"/>
        <v>6</v>
      </c>
      <c r="Q33" s="336">
        <f t="shared" si="27"/>
        <v>36</v>
      </c>
      <c r="R33" s="336">
        <f t="shared" si="27"/>
        <v>112</v>
      </c>
      <c r="S33" s="336">
        <f t="shared" si="27"/>
        <v>176</v>
      </c>
      <c r="T33" s="337">
        <f>S33/M33%</f>
        <v>11.384217335058214</v>
      </c>
      <c r="V33" s="323" t="s">
        <v>177</v>
      </c>
      <c r="W33" s="330">
        <v>97</v>
      </c>
      <c r="X33" s="330">
        <v>0</v>
      </c>
      <c r="Y33" s="330">
        <v>0</v>
      </c>
      <c r="Z33" s="330">
        <v>0</v>
      </c>
      <c r="AA33" s="330">
        <v>0</v>
      </c>
      <c r="AB33" s="331">
        <v>2</v>
      </c>
      <c r="AC33" s="330">
        <f t="shared" si="19"/>
        <v>2</v>
      </c>
      <c r="AD33" s="332">
        <f t="shared" si="20"/>
        <v>2.061855670103093</v>
      </c>
    </row>
    <row r="34" spans="1:50" x14ac:dyDescent="0.25">
      <c r="B34" s="323"/>
      <c r="C34" s="330"/>
      <c r="D34" s="330"/>
      <c r="E34" s="330"/>
      <c r="F34" s="330"/>
      <c r="G34" s="330"/>
      <c r="H34" s="331"/>
      <c r="I34" s="330"/>
      <c r="J34" s="332"/>
      <c r="V34" s="323"/>
      <c r="W34" s="330"/>
      <c r="X34" s="330"/>
      <c r="Y34" s="330"/>
      <c r="Z34" s="330"/>
      <c r="AA34" s="330"/>
      <c r="AB34" s="331"/>
      <c r="AC34" s="330"/>
      <c r="AD34" s="332"/>
    </row>
    <row r="35" spans="1:50" x14ac:dyDescent="0.25">
      <c r="B35" s="326" t="s">
        <v>9</v>
      </c>
      <c r="C35" s="336">
        <f t="shared" ref="C35:I35" si="28">SUM(C27:C33)</f>
        <v>2656</v>
      </c>
      <c r="D35" s="336">
        <f t="shared" si="28"/>
        <v>44</v>
      </c>
      <c r="E35" s="336">
        <f t="shared" si="28"/>
        <v>8</v>
      </c>
      <c r="F35" s="336">
        <f t="shared" si="28"/>
        <v>24</v>
      </c>
      <c r="G35" s="336">
        <f t="shared" si="28"/>
        <v>40</v>
      </c>
      <c r="H35" s="336">
        <f t="shared" si="28"/>
        <v>134</v>
      </c>
      <c r="I35" s="336">
        <f t="shared" si="28"/>
        <v>250</v>
      </c>
      <c r="J35" s="337">
        <f>I35/C35%</f>
        <v>9.4126506024096397</v>
      </c>
      <c r="V35" s="326" t="s">
        <v>9</v>
      </c>
      <c r="W35" s="336">
        <f t="shared" ref="W35:AC35" si="29">SUM(W27:W33)</f>
        <v>1180</v>
      </c>
      <c r="X35" s="336">
        <f t="shared" si="29"/>
        <v>18</v>
      </c>
      <c r="Y35" s="336">
        <f t="shared" si="29"/>
        <v>16</v>
      </c>
      <c r="Z35" s="336">
        <f t="shared" si="29"/>
        <v>32</v>
      </c>
      <c r="AA35" s="336">
        <f t="shared" si="29"/>
        <v>2</v>
      </c>
      <c r="AB35" s="336">
        <f t="shared" si="29"/>
        <v>54</v>
      </c>
      <c r="AC35" s="336">
        <f t="shared" si="29"/>
        <v>122</v>
      </c>
      <c r="AD35" s="337">
        <f>AC35/W35%</f>
        <v>10.338983050847457</v>
      </c>
    </row>
    <row r="38" spans="1:50" ht="25.5" customHeight="1" x14ac:dyDescent="0.25">
      <c r="A38" s="328" t="s">
        <v>186</v>
      </c>
      <c r="B38" s="420" t="s">
        <v>100</v>
      </c>
      <c r="C38" s="422" t="s">
        <v>101</v>
      </c>
      <c r="D38" s="424" t="s">
        <v>103</v>
      </c>
      <c r="E38" s="426"/>
      <c r="F38" s="426"/>
      <c r="G38" s="426"/>
      <c r="H38" s="425"/>
      <c r="I38" s="424"/>
      <c r="J38" s="425"/>
      <c r="K38" s="339" t="s">
        <v>19</v>
      </c>
      <c r="L38" s="420" t="s">
        <v>100</v>
      </c>
      <c r="M38" s="422" t="s">
        <v>101</v>
      </c>
      <c r="N38" s="424" t="s">
        <v>103</v>
      </c>
      <c r="O38" s="426"/>
      <c r="P38" s="426"/>
      <c r="Q38" s="426"/>
      <c r="R38" s="425"/>
      <c r="S38" s="424"/>
      <c r="T38" s="425"/>
      <c r="U38" s="339" t="s">
        <v>90</v>
      </c>
      <c r="V38" s="312" t="s">
        <v>195</v>
      </c>
      <c r="AE38" s="339" t="s">
        <v>49</v>
      </c>
      <c r="AF38" s="420" t="s">
        <v>100</v>
      </c>
      <c r="AG38" s="422" t="s">
        <v>101</v>
      </c>
      <c r="AH38" s="424" t="s">
        <v>103</v>
      </c>
      <c r="AI38" s="426"/>
      <c r="AJ38" s="426"/>
      <c r="AK38" s="426"/>
      <c r="AL38" s="425"/>
      <c r="AM38" s="424"/>
      <c r="AN38" s="425"/>
      <c r="AO38" s="339" t="s">
        <v>21</v>
      </c>
      <c r="AP38" s="420" t="s">
        <v>100</v>
      </c>
      <c r="AQ38" s="422" t="s">
        <v>101</v>
      </c>
      <c r="AR38" s="424" t="s">
        <v>103</v>
      </c>
      <c r="AS38" s="426"/>
      <c r="AT38" s="426"/>
      <c r="AU38" s="426"/>
      <c r="AV38" s="425"/>
      <c r="AW38" s="424"/>
      <c r="AX38" s="425"/>
    </row>
    <row r="39" spans="1:50" x14ac:dyDescent="0.25">
      <c r="B39" s="421"/>
      <c r="C39" s="423"/>
      <c r="D39" s="327" t="s">
        <v>19</v>
      </c>
      <c r="E39" s="327" t="s">
        <v>90</v>
      </c>
      <c r="F39" s="327" t="s">
        <v>49</v>
      </c>
      <c r="G39" s="327" t="s">
        <v>21</v>
      </c>
      <c r="H39" s="321" t="s">
        <v>102</v>
      </c>
      <c r="I39" s="322" t="s">
        <v>9</v>
      </c>
      <c r="J39" s="321" t="s">
        <v>22</v>
      </c>
      <c r="L39" s="421"/>
      <c r="M39" s="423"/>
      <c r="N39" s="327" t="s">
        <v>18</v>
      </c>
      <c r="O39" s="327" t="s">
        <v>90</v>
      </c>
      <c r="P39" s="327" t="s">
        <v>49</v>
      </c>
      <c r="Q39" s="327" t="s">
        <v>21</v>
      </c>
      <c r="R39" s="321" t="s">
        <v>102</v>
      </c>
      <c r="S39" s="322" t="s">
        <v>9</v>
      </c>
      <c r="T39" s="321" t="s">
        <v>22</v>
      </c>
      <c r="AF39" s="421"/>
      <c r="AG39" s="423"/>
      <c r="AH39" s="327" t="s">
        <v>18</v>
      </c>
      <c r="AI39" s="327" t="s">
        <v>19</v>
      </c>
      <c r="AJ39" s="327" t="s">
        <v>90</v>
      </c>
      <c r="AK39" s="327" t="s">
        <v>21</v>
      </c>
      <c r="AL39" s="321" t="s">
        <v>102</v>
      </c>
      <c r="AM39" s="322" t="s">
        <v>9</v>
      </c>
      <c r="AN39" s="321" t="s">
        <v>22</v>
      </c>
      <c r="AP39" s="421"/>
      <c r="AQ39" s="423"/>
      <c r="AR39" s="327" t="s">
        <v>18</v>
      </c>
      <c r="AS39" s="327" t="s">
        <v>19</v>
      </c>
      <c r="AT39" s="327" t="s">
        <v>90</v>
      </c>
      <c r="AU39" s="327" t="s">
        <v>49</v>
      </c>
      <c r="AV39" s="321" t="s">
        <v>102</v>
      </c>
      <c r="AW39" s="322" t="s">
        <v>9</v>
      </c>
      <c r="AX39" s="321" t="s">
        <v>22</v>
      </c>
    </row>
    <row r="40" spans="1:50" x14ac:dyDescent="0.25">
      <c r="B40" s="323"/>
      <c r="C40" s="323"/>
      <c r="D40" s="323"/>
      <c r="E40" s="323"/>
      <c r="F40" s="323"/>
      <c r="G40" s="323"/>
      <c r="H40" s="324"/>
      <c r="I40" s="323"/>
      <c r="J40" s="324"/>
      <c r="L40" s="323"/>
      <c r="M40" s="323"/>
      <c r="N40" s="323"/>
      <c r="O40" s="323"/>
      <c r="P40" s="323"/>
      <c r="Q40" s="323"/>
      <c r="R40" s="324"/>
      <c r="S40" s="323"/>
      <c r="T40" s="324"/>
      <c r="AF40" s="323"/>
      <c r="AG40" s="323"/>
      <c r="AH40" s="323"/>
      <c r="AI40" s="323"/>
      <c r="AJ40" s="323"/>
      <c r="AK40" s="323"/>
      <c r="AL40" s="324"/>
      <c r="AM40" s="323"/>
      <c r="AN40" s="324"/>
      <c r="AP40" s="323"/>
      <c r="AQ40" s="323"/>
      <c r="AR40" s="323"/>
      <c r="AS40" s="323"/>
      <c r="AT40" s="323"/>
      <c r="AU40" s="323"/>
      <c r="AV40" s="324"/>
      <c r="AW40" s="323"/>
      <c r="AX40" s="324"/>
    </row>
    <row r="41" spans="1:50" x14ac:dyDescent="0.25">
      <c r="B41" s="342" t="s">
        <v>187</v>
      </c>
      <c r="C41" s="333">
        <v>615</v>
      </c>
      <c r="D41" s="333">
        <v>10</v>
      </c>
      <c r="E41" s="333" t="s">
        <v>191</v>
      </c>
      <c r="F41" s="333">
        <v>4</v>
      </c>
      <c r="G41" s="333">
        <v>8</v>
      </c>
      <c r="H41" s="340">
        <v>42</v>
      </c>
      <c r="I41" s="333">
        <f>SUM(D41:H41)</f>
        <v>64</v>
      </c>
      <c r="J41" s="346">
        <f>I41/C41%</f>
        <v>10.40650406504065</v>
      </c>
      <c r="L41" s="342" t="s">
        <v>192</v>
      </c>
      <c r="M41" s="333">
        <v>794</v>
      </c>
      <c r="N41" s="333">
        <v>22</v>
      </c>
      <c r="O41" s="333" t="s">
        <v>191</v>
      </c>
      <c r="P41" s="333">
        <v>14</v>
      </c>
      <c r="Q41" s="333">
        <v>34</v>
      </c>
      <c r="R41" s="340">
        <v>122</v>
      </c>
      <c r="S41" s="333">
        <f>SUM(N41:R41)</f>
        <v>192</v>
      </c>
      <c r="T41" s="346">
        <f>S41/M41%</f>
        <v>24.181360201511335</v>
      </c>
      <c r="AF41" s="341" t="s">
        <v>196</v>
      </c>
      <c r="AG41" s="330">
        <v>778</v>
      </c>
      <c r="AH41" s="330">
        <v>12</v>
      </c>
      <c r="AI41" s="330">
        <v>4</v>
      </c>
      <c r="AJ41" s="330" t="s">
        <v>191</v>
      </c>
      <c r="AK41" s="330">
        <v>6</v>
      </c>
      <c r="AL41" s="331">
        <v>54</v>
      </c>
      <c r="AM41" s="330">
        <f>SUM(AH41:AL41)</f>
        <v>76</v>
      </c>
      <c r="AN41" s="332">
        <f>AM41/AG41%</f>
        <v>9.7686375321336758</v>
      </c>
      <c r="AP41" s="341" t="s">
        <v>200</v>
      </c>
      <c r="AQ41" s="330">
        <v>862</v>
      </c>
      <c r="AR41" s="330">
        <v>16</v>
      </c>
      <c r="AS41" s="330">
        <v>18</v>
      </c>
      <c r="AT41" s="330" t="s">
        <v>191</v>
      </c>
      <c r="AU41" s="330">
        <v>2</v>
      </c>
      <c r="AV41" s="331">
        <v>106</v>
      </c>
      <c r="AW41" s="330">
        <f>SUM(AR41:AV41)</f>
        <v>142</v>
      </c>
      <c r="AX41" s="332">
        <f>AW41/AQ41%</f>
        <v>16.473317865429237</v>
      </c>
    </row>
    <row r="42" spans="1:50" x14ac:dyDescent="0.25">
      <c r="B42" s="323" t="s">
        <v>188</v>
      </c>
      <c r="C42" s="330">
        <v>549</v>
      </c>
      <c r="D42" s="330">
        <v>12</v>
      </c>
      <c r="E42" s="330" t="s">
        <v>191</v>
      </c>
      <c r="F42" s="330">
        <v>18</v>
      </c>
      <c r="G42" s="330">
        <v>8</v>
      </c>
      <c r="H42" s="331">
        <v>44</v>
      </c>
      <c r="I42" s="330">
        <f t="shared" ref="I42:I44" si="30">SUM(D42:H42)</f>
        <v>82</v>
      </c>
      <c r="J42" s="332">
        <f t="shared" ref="J42:J44" si="31">I42/C42%</f>
        <v>14.936247723132968</v>
      </c>
      <c r="L42" s="323" t="s">
        <v>193</v>
      </c>
      <c r="M42" s="330">
        <v>477</v>
      </c>
      <c r="N42" s="330">
        <v>2</v>
      </c>
      <c r="O42" s="330" t="s">
        <v>191</v>
      </c>
      <c r="P42" s="330">
        <v>0</v>
      </c>
      <c r="Q42" s="330">
        <v>8</v>
      </c>
      <c r="R42" s="331">
        <v>46</v>
      </c>
      <c r="S42" s="330">
        <f t="shared" ref="S42:S43" si="32">SUM(N42:R42)</f>
        <v>56</v>
      </c>
      <c r="T42" s="332">
        <f t="shared" ref="T42:T43" si="33">S42/M42%</f>
        <v>11.740041928721174</v>
      </c>
      <c r="AF42" s="325" t="s">
        <v>197</v>
      </c>
      <c r="AG42" s="333">
        <v>714</v>
      </c>
      <c r="AH42" s="333">
        <v>2</v>
      </c>
      <c r="AI42" s="333">
        <v>2</v>
      </c>
      <c r="AJ42" s="333" t="s">
        <v>191</v>
      </c>
      <c r="AK42" s="333">
        <v>2</v>
      </c>
      <c r="AL42" s="340">
        <v>32</v>
      </c>
      <c r="AM42" s="333">
        <f t="shared" ref="AM42:AM44" si="34">SUM(AH42:AL42)</f>
        <v>38</v>
      </c>
      <c r="AN42" s="346">
        <f t="shared" ref="AN42:AN44" si="35">AM42/AG42%</f>
        <v>5.3221288515406169</v>
      </c>
      <c r="AP42" s="325" t="s">
        <v>201</v>
      </c>
      <c r="AQ42" s="333">
        <v>561</v>
      </c>
      <c r="AR42" s="333">
        <v>4</v>
      </c>
      <c r="AS42" s="333">
        <v>0</v>
      </c>
      <c r="AT42" s="333" t="s">
        <v>191</v>
      </c>
      <c r="AU42" s="333">
        <v>0</v>
      </c>
      <c r="AV42" s="340">
        <v>18</v>
      </c>
      <c r="AW42" s="333">
        <f t="shared" ref="AW42:AW44" si="36">SUM(AR42:AV42)</f>
        <v>22</v>
      </c>
      <c r="AX42" s="346">
        <f t="shared" ref="AX42:AX44" si="37">AW42/AQ42%</f>
        <v>3.9215686274509802</v>
      </c>
    </row>
    <row r="43" spans="1:50" x14ac:dyDescent="0.25">
      <c r="B43" s="323" t="s">
        <v>189</v>
      </c>
      <c r="C43" s="330">
        <v>331</v>
      </c>
      <c r="D43" s="330">
        <v>4</v>
      </c>
      <c r="E43" s="330" t="s">
        <v>191</v>
      </c>
      <c r="F43" s="330">
        <v>4</v>
      </c>
      <c r="G43" s="330">
        <v>2</v>
      </c>
      <c r="H43" s="330">
        <v>36</v>
      </c>
      <c r="I43" s="330">
        <f t="shared" si="30"/>
        <v>46</v>
      </c>
      <c r="J43" s="347">
        <f t="shared" si="31"/>
        <v>13.897280966767372</v>
      </c>
      <c r="L43" s="323" t="s">
        <v>194</v>
      </c>
      <c r="M43" s="330">
        <v>247</v>
      </c>
      <c r="N43" s="330">
        <v>0</v>
      </c>
      <c r="O43" s="330" t="s">
        <v>191</v>
      </c>
      <c r="P43" s="330">
        <v>0</v>
      </c>
      <c r="Q43" s="330">
        <v>0</v>
      </c>
      <c r="R43" s="330">
        <v>4</v>
      </c>
      <c r="S43" s="330">
        <f t="shared" si="32"/>
        <v>4</v>
      </c>
      <c r="T43" s="347">
        <f t="shared" si="33"/>
        <v>1.6194331983805668</v>
      </c>
      <c r="AF43" s="323" t="s">
        <v>198</v>
      </c>
      <c r="AG43" s="330">
        <v>356</v>
      </c>
      <c r="AH43" s="330">
        <v>4</v>
      </c>
      <c r="AI43" s="330">
        <v>0</v>
      </c>
      <c r="AJ43" s="330" t="s">
        <v>191</v>
      </c>
      <c r="AK43" s="330">
        <v>4</v>
      </c>
      <c r="AL43" s="330">
        <v>20</v>
      </c>
      <c r="AM43" s="330">
        <f t="shared" si="34"/>
        <v>28</v>
      </c>
      <c r="AN43" s="347">
        <f t="shared" si="35"/>
        <v>7.8651685393258424</v>
      </c>
      <c r="AP43" s="323" t="s">
        <v>202</v>
      </c>
      <c r="AQ43" s="330">
        <v>265</v>
      </c>
      <c r="AR43" s="330">
        <v>2</v>
      </c>
      <c r="AS43" s="330">
        <v>0</v>
      </c>
      <c r="AT43" s="330" t="s">
        <v>191</v>
      </c>
      <c r="AU43" s="330">
        <v>0</v>
      </c>
      <c r="AV43" s="330">
        <v>14</v>
      </c>
      <c r="AW43" s="330">
        <f t="shared" si="36"/>
        <v>16</v>
      </c>
      <c r="AX43" s="347">
        <f t="shared" si="37"/>
        <v>6.0377358490566042</v>
      </c>
    </row>
    <row r="44" spans="1:50" x14ac:dyDescent="0.25">
      <c r="B44" s="323" t="s">
        <v>190</v>
      </c>
      <c r="C44" s="330">
        <v>277</v>
      </c>
      <c r="D44" s="330">
        <v>0</v>
      </c>
      <c r="E44" s="330" t="s">
        <v>191</v>
      </c>
      <c r="F44" s="330">
        <v>2</v>
      </c>
      <c r="G44" s="330">
        <v>6</v>
      </c>
      <c r="H44" s="330">
        <v>8</v>
      </c>
      <c r="I44" s="330">
        <f t="shared" si="30"/>
        <v>16</v>
      </c>
      <c r="J44" s="332">
        <f t="shared" si="31"/>
        <v>5.7761732851985563</v>
      </c>
      <c r="L44" s="323"/>
      <c r="M44" s="330"/>
      <c r="N44" s="330"/>
      <c r="O44" s="330"/>
      <c r="P44" s="330"/>
      <c r="Q44" s="330"/>
      <c r="R44" s="331"/>
      <c r="S44" s="330"/>
      <c r="T44" s="332"/>
      <c r="AF44" s="323" t="s">
        <v>199</v>
      </c>
      <c r="AG44" s="330">
        <v>285</v>
      </c>
      <c r="AH44" s="330">
        <v>0</v>
      </c>
      <c r="AI44" s="330">
        <v>0</v>
      </c>
      <c r="AJ44" s="330" t="s">
        <v>191</v>
      </c>
      <c r="AK44" s="330">
        <v>0</v>
      </c>
      <c r="AL44" s="330">
        <v>10</v>
      </c>
      <c r="AM44" s="330">
        <f t="shared" si="34"/>
        <v>10</v>
      </c>
      <c r="AN44" s="332">
        <f t="shared" si="35"/>
        <v>3.5087719298245612</v>
      </c>
      <c r="AP44" s="323" t="s">
        <v>203</v>
      </c>
      <c r="AQ44" s="330">
        <v>252</v>
      </c>
      <c r="AR44" s="330">
        <v>0</v>
      </c>
      <c r="AS44" s="330">
        <v>0</v>
      </c>
      <c r="AT44" s="330" t="s">
        <v>191</v>
      </c>
      <c r="AU44" s="330">
        <v>0</v>
      </c>
      <c r="AV44" s="330">
        <v>2</v>
      </c>
      <c r="AW44" s="330">
        <f t="shared" si="36"/>
        <v>2</v>
      </c>
      <c r="AX44" s="332">
        <f t="shared" si="37"/>
        <v>0.79365079365079361</v>
      </c>
    </row>
    <row r="45" spans="1:50" x14ac:dyDescent="0.25">
      <c r="B45" s="323"/>
      <c r="C45" s="330"/>
      <c r="D45" s="330"/>
      <c r="E45" s="330"/>
      <c r="F45" s="330"/>
      <c r="G45" s="330"/>
      <c r="H45" s="331"/>
      <c r="I45" s="330"/>
      <c r="J45" s="332"/>
      <c r="L45" s="326" t="s">
        <v>9</v>
      </c>
      <c r="M45" s="336">
        <f>SUM(M41:M43)</f>
        <v>1518</v>
      </c>
      <c r="N45" s="336">
        <f>SUM(N41:N43)</f>
        <v>24</v>
      </c>
      <c r="O45" s="336" t="s">
        <v>191</v>
      </c>
      <c r="P45" s="336">
        <f>SUM(P41:P43)</f>
        <v>14</v>
      </c>
      <c r="Q45" s="336">
        <f>SUM(Q41:Q43)</f>
        <v>42</v>
      </c>
      <c r="R45" s="336">
        <f>SUM(R41:R43)</f>
        <v>172</v>
      </c>
      <c r="S45" s="336">
        <f>SUM(S41:S43)</f>
        <v>252</v>
      </c>
      <c r="T45" s="337">
        <f>S45/M45%</f>
        <v>16.600790513833992</v>
      </c>
      <c r="AF45" s="323"/>
      <c r="AG45" s="330"/>
      <c r="AH45" s="330"/>
      <c r="AI45" s="330"/>
      <c r="AJ45" s="330"/>
      <c r="AK45" s="330"/>
      <c r="AL45" s="331"/>
      <c r="AM45" s="330"/>
      <c r="AN45" s="332"/>
      <c r="AP45" s="323"/>
      <c r="AQ45" s="330"/>
      <c r="AR45" s="330"/>
      <c r="AS45" s="330"/>
      <c r="AT45" s="330"/>
      <c r="AU45" s="330"/>
      <c r="AV45" s="331"/>
      <c r="AW45" s="330"/>
      <c r="AX45" s="332"/>
    </row>
    <row r="46" spans="1:50" x14ac:dyDescent="0.25">
      <c r="B46" s="326" t="s">
        <v>9</v>
      </c>
      <c r="C46" s="336">
        <f>SUM(C41:C44)</f>
        <v>1772</v>
      </c>
      <c r="D46" s="336">
        <f>SUM(D41:D44)</f>
        <v>26</v>
      </c>
      <c r="E46" s="336" t="s">
        <v>191</v>
      </c>
      <c r="F46" s="336">
        <f>SUM(F41:F44)</f>
        <v>28</v>
      </c>
      <c r="G46" s="336">
        <f>SUM(G41:G44)</f>
        <v>24</v>
      </c>
      <c r="H46" s="336">
        <f>SUM(H41:H44)</f>
        <v>130</v>
      </c>
      <c r="I46" s="336">
        <f>SUM(I41:I44)</f>
        <v>208</v>
      </c>
      <c r="J46" s="337">
        <f>I46/C46%</f>
        <v>11.738148984198647</v>
      </c>
      <c r="AF46" s="326" t="s">
        <v>9</v>
      </c>
      <c r="AG46" s="336">
        <f>SUM(AG41:AG44)</f>
        <v>2133</v>
      </c>
      <c r="AH46" s="336">
        <f>SUM(AH41:AH44)</f>
        <v>18</v>
      </c>
      <c r="AI46" s="336">
        <f>SUM(AI41:AI44)</f>
        <v>6</v>
      </c>
      <c r="AJ46" s="336" t="s">
        <v>191</v>
      </c>
      <c r="AK46" s="336">
        <f>SUM(AK41:AK44)</f>
        <v>12</v>
      </c>
      <c r="AL46" s="336">
        <f>SUM(AL41:AL44)</f>
        <v>116</v>
      </c>
      <c r="AM46" s="336">
        <f>SUM(AM41:AM44)</f>
        <v>152</v>
      </c>
      <c r="AN46" s="337">
        <f>AM46/AG46%</f>
        <v>7.1261134552273795</v>
      </c>
      <c r="AP46" s="326" t="s">
        <v>9</v>
      </c>
      <c r="AQ46" s="336">
        <f>SUM(AQ41:AQ44)</f>
        <v>1940</v>
      </c>
      <c r="AR46" s="336">
        <f>SUM(AR41:AR44)</f>
        <v>22</v>
      </c>
      <c r="AS46" s="336">
        <f>SUM(AS41:AS44)</f>
        <v>18</v>
      </c>
      <c r="AT46" s="336" t="s">
        <v>191</v>
      </c>
      <c r="AU46" s="336">
        <f>SUM(AU41:AU44)</f>
        <v>2</v>
      </c>
      <c r="AV46" s="336">
        <f>SUM(AV41:AV44)</f>
        <v>140</v>
      </c>
      <c r="AW46" s="336">
        <f>SUM(AW41:AW44)</f>
        <v>182</v>
      </c>
      <c r="AX46" s="337">
        <f>AW46/AQ46%</f>
        <v>9.3814432989690726</v>
      </c>
    </row>
    <row r="49" spans="1:50" ht="25.5" customHeight="1" x14ac:dyDescent="0.25">
      <c r="A49" s="328" t="s">
        <v>204</v>
      </c>
      <c r="B49" s="420" t="s">
        <v>100</v>
      </c>
      <c r="C49" s="422" t="s">
        <v>101</v>
      </c>
      <c r="D49" s="424" t="s">
        <v>103</v>
      </c>
      <c r="E49" s="426"/>
      <c r="F49" s="426"/>
      <c r="G49" s="426"/>
      <c r="H49" s="425"/>
      <c r="I49" s="424"/>
      <c r="J49" s="425"/>
      <c r="K49" s="339" t="s">
        <v>19</v>
      </c>
      <c r="L49" s="420" t="s">
        <v>100</v>
      </c>
      <c r="M49" s="422" t="s">
        <v>101</v>
      </c>
      <c r="N49" s="424" t="s">
        <v>103</v>
      </c>
      <c r="O49" s="426"/>
      <c r="P49" s="426"/>
      <c r="Q49" s="426"/>
      <c r="R49" s="425"/>
      <c r="S49" s="424"/>
      <c r="T49" s="425"/>
      <c r="U49" s="339" t="s">
        <v>90</v>
      </c>
      <c r="V49" s="420" t="s">
        <v>100</v>
      </c>
      <c r="W49" s="422" t="s">
        <v>101</v>
      </c>
      <c r="X49" s="424" t="s">
        <v>103</v>
      </c>
      <c r="Y49" s="426"/>
      <c r="Z49" s="426"/>
      <c r="AA49" s="426"/>
      <c r="AB49" s="425"/>
      <c r="AC49" s="424"/>
      <c r="AD49" s="425"/>
      <c r="AE49" s="339" t="s">
        <v>49</v>
      </c>
      <c r="AF49" s="420" t="s">
        <v>100</v>
      </c>
      <c r="AG49" s="422" t="s">
        <v>101</v>
      </c>
      <c r="AH49" s="424" t="s">
        <v>103</v>
      </c>
      <c r="AI49" s="426"/>
      <c r="AJ49" s="426"/>
      <c r="AK49" s="426"/>
      <c r="AL49" s="425"/>
      <c r="AM49" s="424"/>
      <c r="AN49" s="425"/>
      <c r="AO49" s="339" t="s">
        <v>21</v>
      </c>
      <c r="AP49" s="420" t="s">
        <v>100</v>
      </c>
      <c r="AQ49" s="422" t="s">
        <v>101</v>
      </c>
      <c r="AR49" s="424" t="s">
        <v>103</v>
      </c>
      <c r="AS49" s="426"/>
      <c r="AT49" s="426"/>
      <c r="AU49" s="426"/>
      <c r="AV49" s="425"/>
      <c r="AW49" s="424"/>
      <c r="AX49" s="425"/>
    </row>
    <row r="50" spans="1:50" x14ac:dyDescent="0.25">
      <c r="B50" s="421"/>
      <c r="C50" s="423"/>
      <c r="D50" s="327" t="s">
        <v>19</v>
      </c>
      <c r="E50" s="327" t="s">
        <v>90</v>
      </c>
      <c r="F50" s="327" t="s">
        <v>49</v>
      </c>
      <c r="G50" s="327" t="s">
        <v>21</v>
      </c>
      <c r="H50" s="321" t="s">
        <v>102</v>
      </c>
      <c r="I50" s="322" t="s">
        <v>9</v>
      </c>
      <c r="J50" s="321" t="s">
        <v>22</v>
      </c>
      <c r="L50" s="421"/>
      <c r="M50" s="423"/>
      <c r="N50" s="327" t="s">
        <v>18</v>
      </c>
      <c r="O50" s="327" t="s">
        <v>90</v>
      </c>
      <c r="P50" s="327" t="s">
        <v>49</v>
      </c>
      <c r="Q50" s="327" t="s">
        <v>21</v>
      </c>
      <c r="R50" s="321" t="s">
        <v>102</v>
      </c>
      <c r="S50" s="322" t="s">
        <v>9</v>
      </c>
      <c r="T50" s="321" t="s">
        <v>22</v>
      </c>
      <c r="V50" s="421"/>
      <c r="W50" s="423"/>
      <c r="X50" s="327" t="s">
        <v>18</v>
      </c>
      <c r="Y50" s="327" t="s">
        <v>19</v>
      </c>
      <c r="Z50" s="327" t="s">
        <v>49</v>
      </c>
      <c r="AA50" s="327" t="s">
        <v>21</v>
      </c>
      <c r="AB50" s="321" t="s">
        <v>102</v>
      </c>
      <c r="AC50" s="322" t="s">
        <v>9</v>
      </c>
      <c r="AD50" s="321" t="s">
        <v>22</v>
      </c>
      <c r="AF50" s="421"/>
      <c r="AG50" s="423"/>
      <c r="AH50" s="327" t="s">
        <v>18</v>
      </c>
      <c r="AI50" s="327" t="s">
        <v>19</v>
      </c>
      <c r="AJ50" s="327" t="s">
        <v>90</v>
      </c>
      <c r="AK50" s="327" t="s">
        <v>21</v>
      </c>
      <c r="AL50" s="321" t="s">
        <v>102</v>
      </c>
      <c r="AM50" s="322" t="s">
        <v>9</v>
      </c>
      <c r="AN50" s="321" t="s">
        <v>22</v>
      </c>
      <c r="AP50" s="421"/>
      <c r="AQ50" s="423"/>
      <c r="AR50" s="327" t="s">
        <v>18</v>
      </c>
      <c r="AS50" s="327" t="s">
        <v>19</v>
      </c>
      <c r="AT50" s="327" t="s">
        <v>90</v>
      </c>
      <c r="AU50" s="327" t="s">
        <v>49</v>
      </c>
      <c r="AV50" s="321" t="s">
        <v>102</v>
      </c>
      <c r="AW50" s="322" t="s">
        <v>9</v>
      </c>
      <c r="AX50" s="321" t="s">
        <v>22</v>
      </c>
    </row>
    <row r="51" spans="1:50" x14ac:dyDescent="0.25">
      <c r="B51" s="323"/>
      <c r="C51" s="323"/>
      <c r="D51" s="323"/>
      <c r="E51" s="323"/>
      <c r="F51" s="323"/>
      <c r="G51" s="323"/>
      <c r="H51" s="324"/>
      <c r="I51" s="323"/>
      <c r="J51" s="324"/>
      <c r="L51" s="323"/>
      <c r="M51" s="323"/>
      <c r="N51" s="323"/>
      <c r="O51" s="323"/>
      <c r="P51" s="323"/>
      <c r="Q51" s="323"/>
      <c r="R51" s="324"/>
      <c r="S51" s="323"/>
      <c r="T51" s="324"/>
      <c r="V51" s="338"/>
      <c r="W51" s="338"/>
      <c r="X51" s="338"/>
      <c r="Y51" s="338"/>
      <c r="Z51" s="338"/>
      <c r="AA51" s="338"/>
      <c r="AB51" s="343"/>
      <c r="AC51" s="338"/>
      <c r="AD51" s="343"/>
      <c r="AF51" s="323"/>
      <c r="AG51" s="323"/>
      <c r="AH51" s="323"/>
      <c r="AI51" s="323"/>
      <c r="AJ51" s="323"/>
      <c r="AK51" s="323"/>
      <c r="AL51" s="324"/>
      <c r="AM51" s="323"/>
      <c r="AN51" s="324"/>
      <c r="AP51" s="323"/>
      <c r="AQ51" s="323"/>
      <c r="AR51" s="323"/>
      <c r="AS51" s="323"/>
      <c r="AT51" s="323"/>
      <c r="AU51" s="323"/>
      <c r="AV51" s="324"/>
      <c r="AW51" s="323"/>
      <c r="AX51" s="324"/>
    </row>
    <row r="52" spans="1:50" x14ac:dyDescent="0.25">
      <c r="B52" s="323" t="s">
        <v>205</v>
      </c>
      <c r="C52" s="330">
        <v>1821</v>
      </c>
      <c r="D52" s="330">
        <v>62</v>
      </c>
      <c r="E52" s="330">
        <v>30</v>
      </c>
      <c r="F52" s="330">
        <v>36</v>
      </c>
      <c r="G52" s="330">
        <v>82</v>
      </c>
      <c r="H52" s="331">
        <v>278</v>
      </c>
      <c r="I52" s="330">
        <f>SUM(D52:H52)</f>
        <v>488</v>
      </c>
      <c r="J52" s="332">
        <f>I52/C52%</f>
        <v>26.798462383305875</v>
      </c>
      <c r="L52" s="323" t="s">
        <v>212</v>
      </c>
      <c r="M52" s="330">
        <v>1050</v>
      </c>
      <c r="N52" s="330">
        <v>88</v>
      </c>
      <c r="O52" s="330">
        <v>16</v>
      </c>
      <c r="P52" s="330">
        <v>2</v>
      </c>
      <c r="Q52" s="330">
        <v>14</v>
      </c>
      <c r="R52" s="331">
        <v>156</v>
      </c>
      <c r="S52" s="330">
        <f>SUM(N52:R52)</f>
        <v>276</v>
      </c>
      <c r="T52" s="332">
        <f>S52/M52%</f>
        <v>26.285714285714285</v>
      </c>
      <c r="V52" s="341" t="s">
        <v>218</v>
      </c>
      <c r="W52" s="330">
        <v>281</v>
      </c>
      <c r="X52" s="330">
        <v>14</v>
      </c>
      <c r="Y52" s="330">
        <v>6</v>
      </c>
      <c r="Z52" s="330">
        <v>6</v>
      </c>
      <c r="AA52" s="330">
        <v>0</v>
      </c>
      <c r="AB52" s="331">
        <v>14</v>
      </c>
      <c r="AC52" s="330">
        <f>SUM(X52:AB52)</f>
        <v>40</v>
      </c>
      <c r="AD52" s="332">
        <f>AC52/W52%</f>
        <v>14.234875444839858</v>
      </c>
      <c r="AF52" s="325" t="s">
        <v>221</v>
      </c>
      <c r="AG52" s="333">
        <v>683</v>
      </c>
      <c r="AH52" s="333">
        <v>44</v>
      </c>
      <c r="AI52" s="333">
        <v>6</v>
      </c>
      <c r="AJ52" s="333">
        <v>12</v>
      </c>
      <c r="AK52" s="333">
        <v>10</v>
      </c>
      <c r="AL52" s="340">
        <v>82</v>
      </c>
      <c r="AM52" s="333">
        <f>SUM(AH52:AL52)</f>
        <v>154</v>
      </c>
      <c r="AN52" s="346">
        <f>AM52/AG52%</f>
        <v>22.547584187408493</v>
      </c>
      <c r="AP52" s="323" t="s">
        <v>228</v>
      </c>
      <c r="AQ52" s="330">
        <v>954</v>
      </c>
      <c r="AR52" s="330">
        <v>14</v>
      </c>
      <c r="AS52" s="330">
        <v>6</v>
      </c>
      <c r="AT52" s="330">
        <v>0</v>
      </c>
      <c r="AU52" s="330">
        <v>0</v>
      </c>
      <c r="AV52" s="331">
        <v>60</v>
      </c>
      <c r="AW52" s="330">
        <f>SUM(AR52:AV52)</f>
        <v>80</v>
      </c>
      <c r="AX52" s="332">
        <f>AW52/AQ52%</f>
        <v>8.3857442348008391</v>
      </c>
    </row>
    <row r="53" spans="1:50" x14ac:dyDescent="0.25">
      <c r="B53" s="323" t="s">
        <v>206</v>
      </c>
      <c r="C53" s="330">
        <v>1291</v>
      </c>
      <c r="D53" s="330">
        <v>28</v>
      </c>
      <c r="E53" s="330">
        <v>12</v>
      </c>
      <c r="F53" s="330">
        <v>20</v>
      </c>
      <c r="G53" s="330">
        <v>12</v>
      </c>
      <c r="H53" s="331">
        <v>86</v>
      </c>
      <c r="I53" s="330">
        <f t="shared" ref="I53:I58" si="38">SUM(D53:H53)</f>
        <v>158</v>
      </c>
      <c r="J53" s="332">
        <f t="shared" ref="J53:J58" si="39">I53/C53%</f>
        <v>12.238574748257165</v>
      </c>
      <c r="L53" s="325" t="s">
        <v>213</v>
      </c>
      <c r="M53" s="333">
        <v>914</v>
      </c>
      <c r="N53" s="333">
        <v>62</v>
      </c>
      <c r="O53" s="333">
        <v>6</v>
      </c>
      <c r="P53" s="333">
        <v>2</v>
      </c>
      <c r="Q53" s="333">
        <v>30</v>
      </c>
      <c r="R53" s="340">
        <v>90</v>
      </c>
      <c r="S53" s="333">
        <f t="shared" ref="S53:S57" si="40">SUM(N53:R53)</f>
        <v>190</v>
      </c>
      <c r="T53" s="346">
        <f t="shared" ref="T53:T57" si="41">S53/M53%</f>
        <v>20.787746170678336</v>
      </c>
      <c r="V53" s="323" t="s">
        <v>219</v>
      </c>
      <c r="W53" s="330">
        <v>246</v>
      </c>
      <c r="X53" s="330">
        <v>2</v>
      </c>
      <c r="Y53" s="330">
        <v>4</v>
      </c>
      <c r="Z53" s="330">
        <v>6</v>
      </c>
      <c r="AA53" s="330">
        <v>4</v>
      </c>
      <c r="AB53" s="331">
        <v>30</v>
      </c>
      <c r="AC53" s="330">
        <f t="shared" ref="AC53:AC54" si="42">SUM(X53:AB53)</f>
        <v>46</v>
      </c>
      <c r="AD53" s="332">
        <f t="shared" ref="AD53:AD54" si="43">AC53/W53%</f>
        <v>18.699186991869919</v>
      </c>
      <c r="AF53" s="323" t="s">
        <v>222</v>
      </c>
      <c r="AG53" s="330">
        <v>387</v>
      </c>
      <c r="AH53" s="330">
        <v>4</v>
      </c>
      <c r="AI53" s="330">
        <v>0</v>
      </c>
      <c r="AJ53" s="330">
        <v>4</v>
      </c>
      <c r="AK53" s="330">
        <v>0</v>
      </c>
      <c r="AL53" s="331">
        <v>16</v>
      </c>
      <c r="AM53" s="330">
        <f t="shared" ref="AM53:AM58" si="44">SUM(AH53:AL53)</f>
        <v>24</v>
      </c>
      <c r="AN53" s="332">
        <f t="shared" ref="AN53:AN58" si="45">AM53/AG53%</f>
        <v>6.2015503875968987</v>
      </c>
      <c r="AP53" s="325" t="s">
        <v>229</v>
      </c>
      <c r="AQ53" s="333">
        <v>881</v>
      </c>
      <c r="AR53" s="333">
        <v>12</v>
      </c>
      <c r="AS53" s="333">
        <v>8</v>
      </c>
      <c r="AT53" s="333">
        <v>0</v>
      </c>
      <c r="AU53" s="333">
        <v>4</v>
      </c>
      <c r="AV53" s="340">
        <v>28</v>
      </c>
      <c r="AW53" s="333">
        <f t="shared" ref="AW53:AW57" si="46">SUM(AR53:AV53)</f>
        <v>52</v>
      </c>
      <c r="AX53" s="346">
        <f t="shared" ref="AX53:AX57" si="47">AW53/AQ53%</f>
        <v>5.9023836549375703</v>
      </c>
    </row>
    <row r="54" spans="1:50" x14ac:dyDescent="0.25">
      <c r="B54" s="323" t="s">
        <v>207</v>
      </c>
      <c r="C54" s="330">
        <v>840</v>
      </c>
      <c r="D54" s="330">
        <v>28</v>
      </c>
      <c r="E54" s="330">
        <v>2</v>
      </c>
      <c r="F54" s="330">
        <v>8</v>
      </c>
      <c r="G54" s="330">
        <v>18</v>
      </c>
      <c r="H54" s="330">
        <v>96</v>
      </c>
      <c r="I54" s="330">
        <f t="shared" si="38"/>
        <v>152</v>
      </c>
      <c r="J54" s="347">
        <f t="shared" si="39"/>
        <v>18.095238095238095</v>
      </c>
      <c r="L54" s="323" t="s">
        <v>214</v>
      </c>
      <c r="M54" s="330">
        <v>556</v>
      </c>
      <c r="N54" s="330">
        <v>16</v>
      </c>
      <c r="O54" s="330">
        <v>2</v>
      </c>
      <c r="P54" s="330">
        <v>0</v>
      </c>
      <c r="Q54" s="330">
        <v>14</v>
      </c>
      <c r="R54" s="330">
        <v>50</v>
      </c>
      <c r="S54" s="330">
        <f t="shared" si="40"/>
        <v>82</v>
      </c>
      <c r="T54" s="347">
        <f t="shared" si="41"/>
        <v>14.748201438848922</v>
      </c>
      <c r="V54" s="323" t="s">
        <v>220</v>
      </c>
      <c r="W54" s="330">
        <v>197</v>
      </c>
      <c r="X54" s="330">
        <v>4</v>
      </c>
      <c r="Y54" s="330">
        <v>0</v>
      </c>
      <c r="Z54" s="330">
        <v>14</v>
      </c>
      <c r="AA54" s="330">
        <v>2</v>
      </c>
      <c r="AB54" s="330">
        <v>16</v>
      </c>
      <c r="AC54" s="330">
        <f t="shared" si="42"/>
        <v>36</v>
      </c>
      <c r="AD54" s="347">
        <f t="shared" si="43"/>
        <v>18.274111675126903</v>
      </c>
      <c r="AF54" s="323" t="s">
        <v>223</v>
      </c>
      <c r="AG54" s="330">
        <v>305</v>
      </c>
      <c r="AH54" s="330">
        <v>6</v>
      </c>
      <c r="AI54" s="330">
        <v>2</v>
      </c>
      <c r="AJ54" s="330">
        <v>14</v>
      </c>
      <c r="AK54" s="330">
        <v>0</v>
      </c>
      <c r="AL54" s="330">
        <v>8</v>
      </c>
      <c r="AM54" s="330">
        <f t="shared" si="44"/>
        <v>30</v>
      </c>
      <c r="AN54" s="347">
        <f t="shared" si="45"/>
        <v>9.8360655737704921</v>
      </c>
      <c r="AP54" s="323" t="s">
        <v>230</v>
      </c>
      <c r="AQ54" s="330">
        <v>845</v>
      </c>
      <c r="AR54" s="330">
        <v>6</v>
      </c>
      <c r="AS54" s="330">
        <v>0</v>
      </c>
      <c r="AT54" s="330">
        <v>0</v>
      </c>
      <c r="AU54" s="330">
        <v>4</v>
      </c>
      <c r="AV54" s="330">
        <v>38</v>
      </c>
      <c r="AW54" s="330">
        <f t="shared" si="46"/>
        <v>48</v>
      </c>
      <c r="AX54" s="347">
        <f t="shared" si="47"/>
        <v>5.6804733727810657</v>
      </c>
    </row>
    <row r="55" spans="1:50" x14ac:dyDescent="0.25">
      <c r="B55" s="325" t="s">
        <v>208</v>
      </c>
      <c r="C55" s="333">
        <v>596</v>
      </c>
      <c r="D55" s="333">
        <v>20</v>
      </c>
      <c r="E55" s="333">
        <v>0</v>
      </c>
      <c r="F55" s="333">
        <v>4</v>
      </c>
      <c r="G55" s="333">
        <v>6</v>
      </c>
      <c r="H55" s="333">
        <v>32</v>
      </c>
      <c r="I55" s="333">
        <f t="shared" si="38"/>
        <v>62</v>
      </c>
      <c r="J55" s="346">
        <f t="shared" si="39"/>
        <v>10.40268456375839</v>
      </c>
      <c r="L55" s="323" t="s">
        <v>215</v>
      </c>
      <c r="M55" s="330">
        <v>283</v>
      </c>
      <c r="N55" s="330">
        <v>6</v>
      </c>
      <c r="O55" s="330">
        <v>0</v>
      </c>
      <c r="P55" s="330">
        <v>0</v>
      </c>
      <c r="Q55" s="330">
        <v>0</v>
      </c>
      <c r="R55" s="330">
        <v>12</v>
      </c>
      <c r="S55" s="330">
        <f t="shared" si="40"/>
        <v>18</v>
      </c>
      <c r="T55" s="332">
        <f t="shared" si="41"/>
        <v>6.3604240282685511</v>
      </c>
      <c r="V55" s="323"/>
      <c r="W55" s="330"/>
      <c r="X55" s="330"/>
      <c r="Y55" s="330"/>
      <c r="Z55" s="330"/>
      <c r="AA55" s="330"/>
      <c r="AB55" s="331"/>
      <c r="AC55" s="330"/>
      <c r="AD55" s="332"/>
      <c r="AF55" s="323" t="s">
        <v>224</v>
      </c>
      <c r="AG55" s="330">
        <v>249</v>
      </c>
      <c r="AH55" s="330">
        <v>2</v>
      </c>
      <c r="AI55" s="330">
        <v>0</v>
      </c>
      <c r="AJ55" s="330">
        <v>4</v>
      </c>
      <c r="AK55" s="330">
        <v>0</v>
      </c>
      <c r="AL55" s="330">
        <v>18</v>
      </c>
      <c r="AM55" s="330">
        <f t="shared" si="44"/>
        <v>24</v>
      </c>
      <c r="AN55" s="332">
        <f t="shared" si="45"/>
        <v>9.6385542168674689</v>
      </c>
      <c r="AP55" s="323" t="s">
        <v>231</v>
      </c>
      <c r="AQ55" s="330">
        <v>490</v>
      </c>
      <c r="AR55" s="330">
        <v>10</v>
      </c>
      <c r="AS55" s="330">
        <v>4</v>
      </c>
      <c r="AT55" s="330">
        <v>0</v>
      </c>
      <c r="AU55" s="330">
        <v>0</v>
      </c>
      <c r="AV55" s="330">
        <v>10</v>
      </c>
      <c r="AW55" s="330">
        <f t="shared" si="46"/>
        <v>24</v>
      </c>
      <c r="AX55" s="332">
        <f t="shared" si="47"/>
        <v>4.8979591836734686</v>
      </c>
    </row>
    <row r="56" spans="1:50" x14ac:dyDescent="0.25">
      <c r="B56" s="323" t="s">
        <v>209</v>
      </c>
      <c r="C56" s="330">
        <v>531</v>
      </c>
      <c r="D56" s="330">
        <v>20</v>
      </c>
      <c r="E56" s="330">
        <v>4</v>
      </c>
      <c r="F56" s="330">
        <v>4</v>
      </c>
      <c r="G56" s="330">
        <v>8</v>
      </c>
      <c r="H56" s="331">
        <v>20</v>
      </c>
      <c r="I56" s="330">
        <f t="shared" si="38"/>
        <v>56</v>
      </c>
      <c r="J56" s="332">
        <f t="shared" si="39"/>
        <v>10.546139359698682</v>
      </c>
      <c r="L56" s="323" t="s">
        <v>216</v>
      </c>
      <c r="M56" s="330">
        <v>279</v>
      </c>
      <c r="N56" s="330">
        <v>12</v>
      </c>
      <c r="O56" s="330">
        <v>0</v>
      </c>
      <c r="P56" s="330">
        <v>0</v>
      </c>
      <c r="Q56" s="330">
        <v>4</v>
      </c>
      <c r="R56" s="331">
        <v>2</v>
      </c>
      <c r="S56" s="330">
        <f t="shared" si="40"/>
        <v>18</v>
      </c>
      <c r="T56" s="332">
        <f t="shared" si="41"/>
        <v>6.4516129032258061</v>
      </c>
      <c r="V56" s="326" t="s">
        <v>9</v>
      </c>
      <c r="W56" s="336">
        <f t="shared" ref="W56:AC56" si="48">SUM(W52:W54)</f>
        <v>724</v>
      </c>
      <c r="X56" s="336">
        <f t="shared" si="48"/>
        <v>20</v>
      </c>
      <c r="Y56" s="336">
        <f t="shared" si="48"/>
        <v>10</v>
      </c>
      <c r="Z56" s="336">
        <f t="shared" si="48"/>
        <v>26</v>
      </c>
      <c r="AA56" s="336">
        <f t="shared" si="48"/>
        <v>6</v>
      </c>
      <c r="AB56" s="336">
        <f t="shared" si="48"/>
        <v>60</v>
      </c>
      <c r="AC56" s="336">
        <f t="shared" si="48"/>
        <v>122</v>
      </c>
      <c r="AD56" s="337">
        <f>AC56/W56%</f>
        <v>16.850828729281769</v>
      </c>
      <c r="AF56" s="323" t="s">
        <v>225</v>
      </c>
      <c r="AG56" s="330">
        <v>234</v>
      </c>
      <c r="AH56" s="330">
        <v>2</v>
      </c>
      <c r="AI56" s="330">
        <v>6</v>
      </c>
      <c r="AJ56" s="330">
        <v>6</v>
      </c>
      <c r="AK56" s="330">
        <v>0</v>
      </c>
      <c r="AL56" s="331">
        <v>10</v>
      </c>
      <c r="AM56" s="330">
        <f t="shared" si="44"/>
        <v>24</v>
      </c>
      <c r="AN56" s="332">
        <f t="shared" si="45"/>
        <v>10.256410256410257</v>
      </c>
      <c r="AP56" s="323" t="s">
        <v>232</v>
      </c>
      <c r="AQ56" s="330">
        <v>391</v>
      </c>
      <c r="AR56" s="330">
        <v>4</v>
      </c>
      <c r="AS56" s="330">
        <v>0</v>
      </c>
      <c r="AT56" s="330">
        <v>0</v>
      </c>
      <c r="AU56" s="330">
        <v>0</v>
      </c>
      <c r="AV56" s="331">
        <v>4</v>
      </c>
      <c r="AW56" s="330">
        <f t="shared" si="46"/>
        <v>8</v>
      </c>
      <c r="AX56" s="332">
        <f t="shared" si="47"/>
        <v>2.0460358056265986</v>
      </c>
    </row>
    <row r="57" spans="1:50" x14ac:dyDescent="0.25">
      <c r="B57" s="323" t="s">
        <v>210</v>
      </c>
      <c r="C57" s="330">
        <v>477</v>
      </c>
      <c r="D57" s="330">
        <v>4</v>
      </c>
      <c r="E57" s="330">
        <v>2</v>
      </c>
      <c r="F57" s="330">
        <v>0</v>
      </c>
      <c r="G57" s="330">
        <v>0</v>
      </c>
      <c r="H57" s="331">
        <v>36</v>
      </c>
      <c r="I57" s="330">
        <f t="shared" si="38"/>
        <v>42</v>
      </c>
      <c r="J57" s="332">
        <f t="shared" si="39"/>
        <v>8.8050314465408821</v>
      </c>
      <c r="L57" s="323" t="s">
        <v>217</v>
      </c>
      <c r="M57" s="330">
        <v>186</v>
      </c>
      <c r="N57" s="330">
        <v>0</v>
      </c>
      <c r="O57" s="330">
        <v>4</v>
      </c>
      <c r="P57" s="330">
        <v>0</v>
      </c>
      <c r="Q57" s="330">
        <v>0</v>
      </c>
      <c r="R57" s="331">
        <v>2</v>
      </c>
      <c r="S57" s="330">
        <f t="shared" si="40"/>
        <v>6</v>
      </c>
      <c r="T57" s="332">
        <f t="shared" si="41"/>
        <v>3.225806451612903</v>
      </c>
      <c r="AF57" s="323" t="s">
        <v>226</v>
      </c>
      <c r="AG57" s="330">
        <v>221</v>
      </c>
      <c r="AH57" s="330">
        <v>2</v>
      </c>
      <c r="AI57" s="330">
        <v>0</v>
      </c>
      <c r="AJ57" s="330">
        <v>0</v>
      </c>
      <c r="AK57" s="330">
        <v>0</v>
      </c>
      <c r="AL57" s="331">
        <v>6</v>
      </c>
      <c r="AM57" s="330">
        <f t="shared" si="44"/>
        <v>8</v>
      </c>
      <c r="AN57" s="332">
        <f t="shared" si="45"/>
        <v>3.6199095022624435</v>
      </c>
      <c r="AP57" s="323" t="s">
        <v>233</v>
      </c>
      <c r="AQ57" s="330">
        <v>360</v>
      </c>
      <c r="AR57" s="330">
        <v>0</v>
      </c>
      <c r="AS57" s="330">
        <v>0</v>
      </c>
      <c r="AT57" s="330">
        <v>0</v>
      </c>
      <c r="AU57" s="330">
        <v>0</v>
      </c>
      <c r="AV57" s="331">
        <v>6</v>
      </c>
      <c r="AW57" s="330">
        <f t="shared" si="46"/>
        <v>6</v>
      </c>
      <c r="AX57" s="332">
        <f t="shared" si="47"/>
        <v>1.6666666666666665</v>
      </c>
    </row>
    <row r="58" spans="1:50" x14ac:dyDescent="0.25">
      <c r="B58" s="323" t="s">
        <v>211</v>
      </c>
      <c r="C58" s="330">
        <v>423</v>
      </c>
      <c r="D58" s="330">
        <v>2</v>
      </c>
      <c r="E58" s="330">
        <v>2</v>
      </c>
      <c r="F58" s="330">
        <v>0</v>
      </c>
      <c r="G58" s="330">
        <v>2</v>
      </c>
      <c r="H58" s="331">
        <v>10</v>
      </c>
      <c r="I58" s="330">
        <f t="shared" si="38"/>
        <v>16</v>
      </c>
      <c r="J58" s="332">
        <f t="shared" si="39"/>
        <v>3.7825059101654843</v>
      </c>
      <c r="L58" s="323"/>
      <c r="M58" s="330"/>
      <c r="N58" s="330"/>
      <c r="O58" s="330"/>
      <c r="P58" s="330"/>
      <c r="Q58" s="330"/>
      <c r="R58" s="331"/>
      <c r="S58" s="330"/>
      <c r="T58" s="332"/>
      <c r="AF58" s="323" t="s">
        <v>227</v>
      </c>
      <c r="AG58" s="330">
        <v>200</v>
      </c>
      <c r="AH58" s="330">
        <v>0</v>
      </c>
      <c r="AI58" s="330">
        <v>0</v>
      </c>
      <c r="AJ58" s="330">
        <v>0</v>
      </c>
      <c r="AK58" s="330">
        <v>0</v>
      </c>
      <c r="AL58" s="331">
        <v>10</v>
      </c>
      <c r="AM58" s="330">
        <f t="shared" si="44"/>
        <v>10</v>
      </c>
      <c r="AN58" s="332">
        <f t="shared" si="45"/>
        <v>5</v>
      </c>
      <c r="AP58" s="323"/>
      <c r="AQ58" s="330"/>
      <c r="AR58" s="330"/>
      <c r="AS58" s="330"/>
      <c r="AT58" s="330"/>
      <c r="AU58" s="330"/>
      <c r="AV58" s="331"/>
      <c r="AW58" s="330"/>
      <c r="AX58" s="332"/>
    </row>
    <row r="59" spans="1:50" x14ac:dyDescent="0.25">
      <c r="B59" s="323"/>
      <c r="C59" s="330"/>
      <c r="D59" s="330"/>
      <c r="E59" s="330"/>
      <c r="F59" s="330"/>
      <c r="G59" s="330"/>
      <c r="H59" s="331"/>
      <c r="I59" s="330"/>
      <c r="J59" s="332"/>
      <c r="L59" s="326" t="s">
        <v>9</v>
      </c>
      <c r="M59" s="336">
        <f t="shared" ref="M59:S59" si="49">SUM(M52:M57)</f>
        <v>3268</v>
      </c>
      <c r="N59" s="336">
        <f t="shared" si="49"/>
        <v>184</v>
      </c>
      <c r="O59" s="336">
        <f t="shared" si="49"/>
        <v>28</v>
      </c>
      <c r="P59" s="336">
        <f t="shared" si="49"/>
        <v>4</v>
      </c>
      <c r="Q59" s="336">
        <f t="shared" si="49"/>
        <v>62</v>
      </c>
      <c r="R59" s="336">
        <f t="shared" si="49"/>
        <v>312</v>
      </c>
      <c r="S59" s="336">
        <f t="shared" si="49"/>
        <v>590</v>
      </c>
      <c r="T59" s="337">
        <f>S59/M59%</f>
        <v>18.053855569155449</v>
      </c>
      <c r="AF59" s="323"/>
      <c r="AG59" s="330"/>
      <c r="AH59" s="330"/>
      <c r="AI59" s="330"/>
      <c r="AJ59" s="330"/>
      <c r="AK59" s="330"/>
      <c r="AL59" s="331"/>
      <c r="AM59" s="330"/>
      <c r="AN59" s="332"/>
      <c r="AP59" s="326" t="s">
        <v>9</v>
      </c>
      <c r="AQ59" s="336">
        <f t="shared" ref="AQ59:AW59" si="50">SUM(AQ52:AQ57)</f>
        <v>3921</v>
      </c>
      <c r="AR59" s="336">
        <f t="shared" si="50"/>
        <v>46</v>
      </c>
      <c r="AS59" s="336">
        <f t="shared" si="50"/>
        <v>18</v>
      </c>
      <c r="AT59" s="336">
        <f t="shared" si="50"/>
        <v>0</v>
      </c>
      <c r="AU59" s="336">
        <f t="shared" si="50"/>
        <v>8</v>
      </c>
      <c r="AV59" s="336">
        <f t="shared" si="50"/>
        <v>146</v>
      </c>
      <c r="AW59" s="336">
        <f t="shared" si="50"/>
        <v>218</v>
      </c>
      <c r="AX59" s="337">
        <f>AW59/AQ59%</f>
        <v>5.559806171894925</v>
      </c>
    </row>
    <row r="60" spans="1:50" x14ac:dyDescent="0.25">
      <c r="B60" s="326" t="s">
        <v>9</v>
      </c>
      <c r="C60" s="336">
        <f t="shared" ref="C60:I60" si="51">SUM(C52:C58)</f>
        <v>5979</v>
      </c>
      <c r="D60" s="336">
        <f t="shared" si="51"/>
        <v>164</v>
      </c>
      <c r="E60" s="336">
        <f t="shared" si="51"/>
        <v>52</v>
      </c>
      <c r="F60" s="336">
        <f t="shared" si="51"/>
        <v>72</v>
      </c>
      <c r="G60" s="336">
        <f t="shared" si="51"/>
        <v>128</v>
      </c>
      <c r="H60" s="336">
        <f t="shared" si="51"/>
        <v>558</v>
      </c>
      <c r="I60" s="336">
        <f t="shared" si="51"/>
        <v>974</v>
      </c>
      <c r="J60" s="337">
        <f>I60/C60%</f>
        <v>16.290349556782072</v>
      </c>
      <c r="AF60" s="326" t="s">
        <v>9</v>
      </c>
      <c r="AG60" s="336">
        <f t="shared" ref="AG60:AM60" si="52">SUM(AG52:AG58)</f>
        <v>2279</v>
      </c>
      <c r="AH60" s="336">
        <f t="shared" si="52"/>
        <v>60</v>
      </c>
      <c r="AI60" s="336">
        <f t="shared" si="52"/>
        <v>14</v>
      </c>
      <c r="AJ60" s="336">
        <f t="shared" si="52"/>
        <v>40</v>
      </c>
      <c r="AK60" s="336">
        <f t="shared" si="52"/>
        <v>10</v>
      </c>
      <c r="AL60" s="336">
        <f t="shared" si="52"/>
        <v>150</v>
      </c>
      <c r="AM60" s="336">
        <f t="shared" si="52"/>
        <v>274</v>
      </c>
      <c r="AN60" s="337">
        <f>AM60/AG60%</f>
        <v>12.022817025010971</v>
      </c>
    </row>
  </sheetData>
  <mergeCells count="76">
    <mergeCell ref="AW49:AX49"/>
    <mergeCell ref="V49:V50"/>
    <mergeCell ref="W49:W50"/>
    <mergeCell ref="X49:AB49"/>
    <mergeCell ref="AC49:AD49"/>
    <mergeCell ref="AF49:AF50"/>
    <mergeCell ref="AG49:AG50"/>
    <mergeCell ref="AH49:AL49"/>
    <mergeCell ref="AM49:AN49"/>
    <mergeCell ref="AP49:AP50"/>
    <mergeCell ref="AQ49:AQ50"/>
    <mergeCell ref="AR49:AV49"/>
    <mergeCell ref="AR38:AV38"/>
    <mergeCell ref="AW38:AX38"/>
    <mergeCell ref="B49:B50"/>
    <mergeCell ref="C49:C50"/>
    <mergeCell ref="D49:H49"/>
    <mergeCell ref="I49:J49"/>
    <mergeCell ref="L49:L50"/>
    <mergeCell ref="M49:M50"/>
    <mergeCell ref="N49:R49"/>
    <mergeCell ref="S49:T49"/>
    <mergeCell ref="AF38:AF39"/>
    <mergeCell ref="AG38:AG39"/>
    <mergeCell ref="AH38:AL38"/>
    <mergeCell ref="AM38:AN38"/>
    <mergeCell ref="AP38:AP39"/>
    <mergeCell ref="AQ38:AQ39"/>
    <mergeCell ref="M38:M39"/>
    <mergeCell ref="N38:R38"/>
    <mergeCell ref="S38:T38"/>
    <mergeCell ref="AF24:AF25"/>
    <mergeCell ref="AG24:AG25"/>
    <mergeCell ref="AC24:AD24"/>
    <mergeCell ref="M24:M25"/>
    <mergeCell ref="N24:R24"/>
    <mergeCell ref="S24:T24"/>
    <mergeCell ref="V24:V25"/>
    <mergeCell ref="W24:W25"/>
    <mergeCell ref="X24:AB24"/>
    <mergeCell ref="B38:B39"/>
    <mergeCell ref="C38:C39"/>
    <mergeCell ref="D38:H38"/>
    <mergeCell ref="I38:J38"/>
    <mergeCell ref="L38:L39"/>
    <mergeCell ref="AP3:AP4"/>
    <mergeCell ref="AQ3:AQ4"/>
    <mergeCell ref="AR3:AV3"/>
    <mergeCell ref="AW3:AX3"/>
    <mergeCell ref="AH3:AL3"/>
    <mergeCell ref="AM3:AN3"/>
    <mergeCell ref="AR24:AV24"/>
    <mergeCell ref="AW24:AX24"/>
    <mergeCell ref="AH24:AL24"/>
    <mergeCell ref="AM24:AN24"/>
    <mergeCell ref="AP24:AP25"/>
    <mergeCell ref="AQ24:AQ25"/>
    <mergeCell ref="B24:B25"/>
    <mergeCell ref="C24:C25"/>
    <mergeCell ref="D24:H24"/>
    <mergeCell ref="I24:J24"/>
    <mergeCell ref="L24:L25"/>
    <mergeCell ref="AC3:AD3"/>
    <mergeCell ref="AF3:AF4"/>
    <mergeCell ref="AG3:AG4"/>
    <mergeCell ref="N3:R3"/>
    <mergeCell ref="S3:T3"/>
    <mergeCell ref="V3:V4"/>
    <mergeCell ref="W3:W4"/>
    <mergeCell ref="X3:AB3"/>
    <mergeCell ref="B3:B4"/>
    <mergeCell ref="C3:C4"/>
    <mergeCell ref="I3:J3"/>
    <mergeCell ref="L3:L4"/>
    <mergeCell ref="M3:M4"/>
    <mergeCell ref="D3:H3"/>
  </mergeCells>
  <pageMargins left="0.7" right="0.7" top="0.78740157499999996" bottom="0.78740157499999996" header="0.3" footer="0.3"/>
  <pageSetup paperSize="9" orientation="portrait" r:id="rId1"/>
  <ignoredErrors>
    <ignoredError sqref="I6:I19 S6:S13 AC6:AC17 AM6:AM14 AW6:AW15 I27:I33 S27:S31 AC27:AC33 AM27:AM30 AW27:AW30 I52:I58 S52:S57 AC52:AC54 AM52:AM58 AW52:AW57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592A-8773-44BC-AB3B-DDD728F82480}">
  <dimension ref="A1:T60"/>
  <sheetViews>
    <sheetView topLeftCell="A20" zoomScale="90" zoomScaleNormal="90" workbookViewId="0">
      <selection activeCell="G6" sqref="G6"/>
    </sheetView>
  </sheetViews>
  <sheetFormatPr defaultColWidth="11.453125" defaultRowHeight="13" x14ac:dyDescent="0.25"/>
  <cols>
    <col min="1" max="1" width="13.36328125" style="312" customWidth="1"/>
    <col min="2" max="2" width="22.08984375" style="312" customWidth="1"/>
    <col min="3" max="3" width="11.453125" style="312" customWidth="1"/>
    <col min="4" max="4" width="9.6328125" style="312" customWidth="1"/>
    <col min="5" max="5" width="11.453125" style="312"/>
    <col min="6" max="6" width="22.08984375" style="312" customWidth="1"/>
    <col min="7" max="7" width="11.453125" style="312" customWidth="1"/>
    <col min="8" max="8" width="9.6328125" style="312" customWidth="1"/>
    <col min="9" max="9" width="11.453125" style="312"/>
    <col min="10" max="10" width="22.08984375" style="312" customWidth="1"/>
    <col min="11" max="11" width="11.453125" style="312" customWidth="1"/>
    <col min="12" max="12" width="9.6328125" style="312" customWidth="1"/>
    <col min="13" max="13" width="11.453125" style="312"/>
    <col min="14" max="14" width="22.08984375" style="312" customWidth="1"/>
    <col min="15" max="15" width="11.453125" style="312" customWidth="1"/>
    <col min="16" max="16" width="9.6328125" style="312" customWidth="1"/>
    <col min="17" max="17" width="11.453125" style="312"/>
    <col min="18" max="18" width="22.08984375" style="312" customWidth="1"/>
    <col min="19" max="19" width="11.453125" style="312" customWidth="1"/>
    <col min="20" max="24" width="9.6328125" style="312" customWidth="1"/>
    <col min="25" max="16384" width="11.453125" style="312"/>
  </cols>
  <sheetData>
    <row r="1" spans="1:20" x14ac:dyDescent="0.25">
      <c r="A1" s="348" t="s">
        <v>235</v>
      </c>
    </row>
    <row r="3" spans="1:20" ht="41.25" customHeight="1" x14ac:dyDescent="0.25">
      <c r="A3" s="328" t="s">
        <v>126</v>
      </c>
      <c r="B3" s="420" t="s">
        <v>100</v>
      </c>
      <c r="C3" s="427" t="s">
        <v>234</v>
      </c>
      <c r="D3" s="428"/>
      <c r="E3" s="339" t="s">
        <v>19</v>
      </c>
      <c r="F3" s="420" t="s">
        <v>100</v>
      </c>
      <c r="G3" s="427" t="s">
        <v>234</v>
      </c>
      <c r="H3" s="428"/>
      <c r="I3" s="339" t="s">
        <v>90</v>
      </c>
      <c r="J3" s="420" t="s">
        <v>100</v>
      </c>
      <c r="K3" s="427" t="s">
        <v>234</v>
      </c>
      <c r="L3" s="428"/>
      <c r="M3" s="339" t="s">
        <v>49</v>
      </c>
      <c r="N3" s="420" t="s">
        <v>100</v>
      </c>
      <c r="O3" s="427" t="s">
        <v>234</v>
      </c>
      <c r="P3" s="428"/>
      <c r="Q3" s="339" t="s">
        <v>21</v>
      </c>
      <c r="R3" s="420" t="s">
        <v>100</v>
      </c>
      <c r="S3" s="427" t="s">
        <v>234</v>
      </c>
      <c r="T3" s="428"/>
    </row>
    <row r="4" spans="1:20" x14ac:dyDescent="0.25">
      <c r="B4" s="421"/>
      <c r="C4" s="322" t="s">
        <v>46</v>
      </c>
      <c r="D4" s="321" t="s">
        <v>22</v>
      </c>
      <c r="F4" s="421"/>
      <c r="G4" s="322" t="s">
        <v>46</v>
      </c>
      <c r="H4" s="321" t="s">
        <v>22</v>
      </c>
      <c r="J4" s="421"/>
      <c r="K4" s="322" t="s">
        <v>46</v>
      </c>
      <c r="L4" s="321" t="s">
        <v>22</v>
      </c>
      <c r="N4" s="421"/>
      <c r="O4" s="322" t="s">
        <v>46</v>
      </c>
      <c r="P4" s="321" t="s">
        <v>22</v>
      </c>
      <c r="R4" s="421"/>
      <c r="S4" s="322" t="s">
        <v>46</v>
      </c>
      <c r="T4" s="321" t="s">
        <v>22</v>
      </c>
    </row>
    <row r="5" spans="1:20" x14ac:dyDescent="0.25">
      <c r="B5" s="323"/>
      <c r="C5" s="323"/>
      <c r="D5" s="324"/>
      <c r="F5" s="323"/>
      <c r="G5" s="323"/>
      <c r="H5" s="324"/>
      <c r="J5" s="323"/>
      <c r="K5" s="323"/>
      <c r="L5" s="324"/>
      <c r="N5" s="323"/>
      <c r="O5" s="323"/>
      <c r="P5" s="324"/>
      <c r="R5" s="323"/>
      <c r="S5" s="323"/>
      <c r="T5" s="324"/>
    </row>
    <row r="6" spans="1:20" x14ac:dyDescent="0.25">
      <c r="B6" s="323" t="s">
        <v>104</v>
      </c>
      <c r="C6" s="330">
        <f>SUM('8.2 Kumulieren'!D6:H6)</f>
        <v>486</v>
      </c>
      <c r="D6" s="332">
        <f>C6/'8.2 Kumulieren'!C6%</f>
        <v>20.049504950495052</v>
      </c>
      <c r="F6" s="323" t="s">
        <v>117</v>
      </c>
      <c r="G6" s="330">
        <f>SUM('8.2 Kumulieren'!N6:R6)</f>
        <v>344</v>
      </c>
      <c r="H6" s="332">
        <f>G6/'8.2 Kumulieren'!M6%</f>
        <v>22.0795892169448</v>
      </c>
      <c r="J6" s="323" t="s">
        <v>127</v>
      </c>
      <c r="K6" s="330">
        <f>SUM('8.2 Kumulieren'!X6:AB6)</f>
        <v>318</v>
      </c>
      <c r="L6" s="332">
        <f>K6/'8.2 Kumulieren'!W6%</f>
        <v>27.894736842105264</v>
      </c>
      <c r="N6" s="323" t="s">
        <v>139</v>
      </c>
      <c r="O6" s="330">
        <f>SUM('8.2 Kumulieren'!AH6:AL6)</f>
        <v>140</v>
      </c>
      <c r="P6" s="332">
        <f>O6/'8.2 Kumulieren'!AG6%</f>
        <v>9.6418732782369148</v>
      </c>
      <c r="R6" s="323" t="s">
        <v>148</v>
      </c>
      <c r="S6" s="330">
        <f>SUM('8.2 Kumulieren'!AR6:AV6)</f>
        <v>120</v>
      </c>
      <c r="T6" s="332">
        <f>S6/'8.2 Kumulieren'!AQ6%</f>
        <v>9.7402597402597397</v>
      </c>
    </row>
    <row r="7" spans="1:20" x14ac:dyDescent="0.25">
      <c r="B7" s="323" t="s">
        <v>105</v>
      </c>
      <c r="C7" s="330">
        <f>SUM('8.2 Kumulieren'!D7:H7)</f>
        <v>200</v>
      </c>
      <c r="D7" s="332">
        <f>C7/'8.2 Kumulieren'!C7%</f>
        <v>13.315579227696405</v>
      </c>
      <c r="F7" s="323" t="s">
        <v>118</v>
      </c>
      <c r="G7" s="330">
        <f>SUM('8.2 Kumulieren'!N7:R7)</f>
        <v>386</v>
      </c>
      <c r="H7" s="332">
        <f>G7/'8.2 Kumulieren'!M7%</f>
        <v>25.478547854785479</v>
      </c>
      <c r="J7" s="325" t="s">
        <v>128</v>
      </c>
      <c r="K7" s="333">
        <f>SUM('8.2 Kumulieren'!X7:AB7)</f>
        <v>126</v>
      </c>
      <c r="L7" s="346">
        <f>K7/'8.2 Kumulieren'!W7%</f>
        <v>15.555555555555555</v>
      </c>
      <c r="N7" s="323" t="s">
        <v>140</v>
      </c>
      <c r="O7" s="330">
        <f>SUM('8.2 Kumulieren'!AH7:AL7)</f>
        <v>138</v>
      </c>
      <c r="P7" s="332">
        <f>O7/'8.2 Kumulieren'!AG7%</f>
        <v>9.6436058700209646</v>
      </c>
      <c r="R7" s="323" t="s">
        <v>149</v>
      </c>
      <c r="S7" s="330">
        <f>SUM('8.2 Kumulieren'!AR7:AV7)</f>
        <v>100</v>
      </c>
      <c r="T7" s="332">
        <f>S7/'8.2 Kumulieren'!AQ7%</f>
        <v>8.2101806239737272</v>
      </c>
    </row>
    <row r="8" spans="1:20" x14ac:dyDescent="0.25">
      <c r="B8" s="323" t="s">
        <v>106</v>
      </c>
      <c r="C8" s="330">
        <f>SUM('8.2 Kumulieren'!D8:H8)</f>
        <v>212</v>
      </c>
      <c r="D8" s="332">
        <f>C8/'8.2 Kumulieren'!C8%</f>
        <v>15.142857142857142</v>
      </c>
      <c r="F8" s="323" t="s">
        <v>119</v>
      </c>
      <c r="G8" s="333">
        <f>SUM('8.2 Kumulieren'!N8:R8)</f>
        <v>162</v>
      </c>
      <c r="H8" s="346">
        <f>G8/'8.2 Kumulieren'!M8%</f>
        <v>12.65625</v>
      </c>
      <c r="J8" s="323" t="s">
        <v>129</v>
      </c>
      <c r="K8" s="330">
        <f>SUM('8.2 Kumulieren'!X8:AB8)</f>
        <v>44</v>
      </c>
      <c r="L8" s="332">
        <f>K8/'8.2 Kumulieren'!W8%</f>
        <v>6.666666666666667</v>
      </c>
      <c r="N8" s="325" t="s">
        <v>141</v>
      </c>
      <c r="O8" s="333">
        <f>SUM('8.2 Kumulieren'!AH8:AL8)</f>
        <v>164</v>
      </c>
      <c r="P8" s="346">
        <f>O8/'8.2 Kumulieren'!AG8%</f>
        <v>11.773151471643935</v>
      </c>
      <c r="R8" s="325" t="s">
        <v>150</v>
      </c>
      <c r="S8" s="333">
        <f>SUM('8.2 Kumulieren'!AR8:AV8)</f>
        <v>62</v>
      </c>
      <c r="T8" s="346">
        <f>S8/'8.2 Kumulieren'!AQ8%</f>
        <v>5.3173241852487134</v>
      </c>
    </row>
    <row r="9" spans="1:20" x14ac:dyDescent="0.25">
      <c r="B9" s="323" t="s">
        <v>107</v>
      </c>
      <c r="C9" s="333">
        <f>SUM('8.2 Kumulieren'!D9:H9)</f>
        <v>170</v>
      </c>
      <c r="D9" s="346">
        <f>C9/'8.2 Kumulieren'!C9%</f>
        <v>12.160228898426324</v>
      </c>
      <c r="F9" s="329" t="s">
        <v>120</v>
      </c>
      <c r="G9" s="330">
        <f>SUM('8.2 Kumulieren'!N9:R9)</f>
        <v>102</v>
      </c>
      <c r="H9" s="332">
        <f>G9/'8.2 Kumulieren'!M9%</f>
        <v>10.537190082644628</v>
      </c>
      <c r="J9" s="323" t="s">
        <v>130</v>
      </c>
      <c r="K9" s="330">
        <f>SUM('8.2 Kumulieren'!X9:AB9)</f>
        <v>106</v>
      </c>
      <c r="L9" s="332">
        <f>K9/'8.2 Kumulieren'!W9%</f>
        <v>20.152091254752854</v>
      </c>
      <c r="N9" s="323" t="s">
        <v>142</v>
      </c>
      <c r="O9" s="330">
        <f>SUM('8.2 Kumulieren'!AH9:AL9)</f>
        <v>92</v>
      </c>
      <c r="P9" s="332">
        <f>O9/'8.2 Kumulieren'!AG9%</f>
        <v>6.9069069069069071</v>
      </c>
      <c r="R9" s="323" t="s">
        <v>151</v>
      </c>
      <c r="S9" s="330">
        <f>SUM('8.2 Kumulieren'!AR9:AV9)</f>
        <v>60</v>
      </c>
      <c r="T9" s="332">
        <f>S9/'8.2 Kumulieren'!AQ9%</f>
        <v>5.7142857142857144</v>
      </c>
    </row>
    <row r="10" spans="1:20" x14ac:dyDescent="0.25">
      <c r="B10" s="329" t="s">
        <v>108</v>
      </c>
      <c r="C10" s="330">
        <f>SUM('8.2 Kumulieren'!D10:H10)</f>
        <v>150</v>
      </c>
      <c r="D10" s="332">
        <f>C10/'8.2 Kumulieren'!C10%</f>
        <v>11.363636363636365</v>
      </c>
      <c r="F10" s="323" t="s">
        <v>121</v>
      </c>
      <c r="G10" s="330">
        <f>SUM('8.2 Kumulieren'!N10:R10)</f>
        <v>80</v>
      </c>
      <c r="H10" s="332">
        <f>G10/'8.2 Kumulieren'!M10%</f>
        <v>8.7145969498910674</v>
      </c>
      <c r="J10" s="323" t="s">
        <v>131</v>
      </c>
      <c r="K10" s="330">
        <f>SUM('8.2 Kumulieren'!X10:AB10)</f>
        <v>54</v>
      </c>
      <c r="L10" s="332">
        <f>K10/'8.2 Kumulieren'!W10%</f>
        <v>11.538461538461538</v>
      </c>
      <c r="N10" s="323" t="s">
        <v>143</v>
      </c>
      <c r="O10" s="330">
        <f>SUM('8.2 Kumulieren'!AH10:AL10)</f>
        <v>76</v>
      </c>
      <c r="P10" s="332">
        <f>O10/'8.2 Kumulieren'!AG10%</f>
        <v>5.7706909643128323</v>
      </c>
      <c r="R10" s="323" t="s">
        <v>157</v>
      </c>
      <c r="S10" s="330">
        <f>SUM('8.2 Kumulieren'!AR10:AV10)</f>
        <v>8</v>
      </c>
      <c r="T10" s="332">
        <f>S10/'8.2 Kumulieren'!AQ10%</f>
        <v>0.86767895878524937</v>
      </c>
    </row>
    <row r="11" spans="1:20" x14ac:dyDescent="0.25">
      <c r="B11" s="323" t="s">
        <v>109</v>
      </c>
      <c r="C11" s="330">
        <f>SUM('8.2 Kumulieren'!D11:H11)</f>
        <v>56</v>
      </c>
      <c r="D11" s="332">
        <f>C11/'8.2 Kumulieren'!C11%</f>
        <v>5.7911065149948291</v>
      </c>
      <c r="F11" s="323" t="s">
        <v>122</v>
      </c>
      <c r="G11" s="330">
        <f>SUM('8.2 Kumulieren'!N11:R11)</f>
        <v>64</v>
      </c>
      <c r="H11" s="332">
        <f>G11/'8.2 Kumulieren'!M11%</f>
        <v>7.5029308323563901</v>
      </c>
      <c r="J11" s="323" t="s">
        <v>132</v>
      </c>
      <c r="K11" s="330">
        <f>SUM('8.2 Kumulieren'!X11:AB11)</f>
        <v>34</v>
      </c>
      <c r="L11" s="332">
        <f>K11/'8.2 Kumulieren'!W11%</f>
        <v>9.0185676392572951</v>
      </c>
      <c r="N11" s="323" t="s">
        <v>144</v>
      </c>
      <c r="O11" s="330">
        <f>SUM('8.2 Kumulieren'!AH11:AL11)</f>
        <v>72</v>
      </c>
      <c r="P11" s="332">
        <f>O11/'8.2 Kumulieren'!AG11%</f>
        <v>5.664830841856805</v>
      </c>
      <c r="R11" s="323" t="s">
        <v>152</v>
      </c>
      <c r="S11" s="330">
        <f>SUM('8.2 Kumulieren'!AR11:AV11)</f>
        <v>20</v>
      </c>
      <c r="T11" s="332">
        <f>S11/'8.2 Kumulieren'!AQ11%</f>
        <v>3.3783783783783785</v>
      </c>
    </row>
    <row r="12" spans="1:20" x14ac:dyDescent="0.25">
      <c r="B12" s="323" t="s">
        <v>125</v>
      </c>
      <c r="C12" s="330">
        <f>SUM('8.2 Kumulieren'!D12:H12)</f>
        <v>90</v>
      </c>
      <c r="D12" s="332">
        <f>C12/'8.2 Kumulieren'!C12%</f>
        <v>9.4537815126050422</v>
      </c>
      <c r="F12" s="323" t="s">
        <v>123</v>
      </c>
      <c r="G12" s="330">
        <f>SUM('8.2 Kumulieren'!N12:R12)</f>
        <v>38</v>
      </c>
      <c r="H12" s="332">
        <f>G12/'8.2 Kumulieren'!M12%</f>
        <v>5.1212938005390836</v>
      </c>
      <c r="J12" s="323" t="s">
        <v>133</v>
      </c>
      <c r="K12" s="330">
        <f>SUM('8.2 Kumulieren'!X12:AB12)</f>
        <v>58</v>
      </c>
      <c r="L12" s="332">
        <f>K12/'8.2 Kumulieren'!W12%</f>
        <v>15.977961432506888</v>
      </c>
      <c r="N12" s="323" t="s">
        <v>145</v>
      </c>
      <c r="O12" s="330">
        <f>SUM('8.2 Kumulieren'!AH12:AL12)</f>
        <v>40</v>
      </c>
      <c r="P12" s="332">
        <f>O12/'8.2 Kumulieren'!AG12%</f>
        <v>5.7720057720057723</v>
      </c>
      <c r="R12" s="323" t="s">
        <v>153</v>
      </c>
      <c r="S12" s="330">
        <f>SUM('8.2 Kumulieren'!AR12:AV12)</f>
        <v>26</v>
      </c>
      <c r="T12" s="332">
        <f>S12/'8.2 Kumulieren'!AQ12%</f>
        <v>4.6511627906976747</v>
      </c>
    </row>
    <row r="13" spans="1:20" x14ac:dyDescent="0.25">
      <c r="B13" s="323" t="s">
        <v>116</v>
      </c>
      <c r="C13" s="330">
        <f>SUM('8.2 Kumulieren'!D13:H13)</f>
        <v>62</v>
      </c>
      <c r="D13" s="332">
        <f>C13/'8.2 Kumulieren'!C13%</f>
        <v>7.1925754060324829</v>
      </c>
      <c r="F13" s="323" t="s">
        <v>124</v>
      </c>
      <c r="G13" s="330">
        <f>SUM('8.2 Kumulieren'!N13:R13)</f>
        <v>88</v>
      </c>
      <c r="H13" s="332">
        <f>G13/'8.2 Kumulieren'!M13%</f>
        <v>16.176470588235293</v>
      </c>
      <c r="J13" s="323" t="s">
        <v>134</v>
      </c>
      <c r="K13" s="330">
        <f>SUM('8.2 Kumulieren'!X13:AB13)</f>
        <v>16</v>
      </c>
      <c r="L13" s="332">
        <f>K13/'8.2 Kumulieren'!W13%</f>
        <v>4.4568245125348191</v>
      </c>
      <c r="N13" s="323" t="s">
        <v>146</v>
      </c>
      <c r="O13" s="330">
        <f>SUM('8.2 Kumulieren'!AH13:AL13)</f>
        <v>32</v>
      </c>
      <c r="P13" s="332">
        <f>O13/'8.2 Kumulieren'!AG13%</f>
        <v>4.9155145929339481</v>
      </c>
      <c r="R13" s="323" t="s">
        <v>154</v>
      </c>
      <c r="S13" s="330">
        <f>SUM('8.2 Kumulieren'!AR13:AV13)</f>
        <v>8</v>
      </c>
      <c r="T13" s="332">
        <f>S13/'8.2 Kumulieren'!AQ13%</f>
        <v>1.6194331983805668</v>
      </c>
    </row>
    <row r="14" spans="1:20" x14ac:dyDescent="0.25">
      <c r="B14" s="323" t="s">
        <v>110</v>
      </c>
      <c r="C14" s="330">
        <f>SUM('8.2 Kumulieren'!D14:H14)</f>
        <v>48</v>
      </c>
      <c r="D14" s="332">
        <f>C14/'8.2 Kumulieren'!C14%</f>
        <v>5.6603773584905657</v>
      </c>
      <c r="F14" s="323"/>
      <c r="G14" s="330"/>
      <c r="H14" s="332"/>
      <c r="J14" s="323" t="s">
        <v>135</v>
      </c>
      <c r="K14" s="330">
        <f>SUM('8.2 Kumulieren'!X14:AB14)</f>
        <v>40</v>
      </c>
      <c r="L14" s="332">
        <f>K14/'8.2 Kumulieren'!W14%</f>
        <v>11.3314447592068</v>
      </c>
      <c r="N14" s="323" t="s">
        <v>147</v>
      </c>
      <c r="O14" s="330">
        <f>SUM('8.2 Kumulieren'!AH14:AL14)</f>
        <v>10</v>
      </c>
      <c r="P14" s="332">
        <f>O14/'8.2 Kumulieren'!AG14%</f>
        <v>1.6920473773265652</v>
      </c>
      <c r="R14" s="323" t="s">
        <v>155</v>
      </c>
      <c r="S14" s="330">
        <f>SUM('8.2 Kumulieren'!AR14:AV14)</f>
        <v>10</v>
      </c>
      <c r="T14" s="332">
        <f>S14/'8.2 Kumulieren'!AQ14%</f>
        <v>2.1231422505307855</v>
      </c>
    </row>
    <row r="15" spans="1:20" x14ac:dyDescent="0.25">
      <c r="B15" s="323" t="s">
        <v>111</v>
      </c>
      <c r="C15" s="330">
        <f>SUM('8.2 Kumulieren'!D15:H15)</f>
        <v>38</v>
      </c>
      <c r="D15" s="332">
        <f>C15/'8.2 Kumulieren'!C15%</f>
        <v>4.5346062052505962</v>
      </c>
      <c r="F15" s="326" t="s">
        <v>9</v>
      </c>
      <c r="G15" s="336">
        <f>SUM('8.2 Kumulieren'!N15:R15)</f>
        <v>1264</v>
      </c>
      <c r="H15" s="349">
        <f>G15/'8.2 Kumulieren'!M15%</f>
        <v>15.087132967295297</v>
      </c>
      <c r="J15" s="323" t="s">
        <v>136</v>
      </c>
      <c r="K15" s="330">
        <f>SUM('8.2 Kumulieren'!X15:AB15)</f>
        <v>16</v>
      </c>
      <c r="L15" s="332">
        <f>K15/'8.2 Kumulieren'!W15%</f>
        <v>4.8192771084337354</v>
      </c>
      <c r="N15" s="323"/>
      <c r="O15" s="330"/>
      <c r="P15" s="332"/>
      <c r="R15" s="323" t="s">
        <v>156</v>
      </c>
      <c r="S15" s="330">
        <f>SUM('8.2 Kumulieren'!AR15:AV15)</f>
        <v>2</v>
      </c>
      <c r="T15" s="332">
        <f>S15/'8.2 Kumulieren'!AQ15%</f>
        <v>0.43010752688172038</v>
      </c>
    </row>
    <row r="16" spans="1:20" x14ac:dyDescent="0.25">
      <c r="B16" s="323" t="s">
        <v>112</v>
      </c>
      <c r="C16" s="330">
        <f>SUM('8.2 Kumulieren'!D16:H16)</f>
        <v>54</v>
      </c>
      <c r="D16" s="332">
        <f>C16/'8.2 Kumulieren'!C16%</f>
        <v>6.4825930372148859</v>
      </c>
      <c r="J16" s="323" t="s">
        <v>137</v>
      </c>
      <c r="K16" s="330">
        <f>SUM('8.2 Kumulieren'!X16:AB16)</f>
        <v>26</v>
      </c>
      <c r="L16" s="332">
        <f>K16/'8.2 Kumulieren'!W16%</f>
        <v>7.9027355623100304</v>
      </c>
      <c r="N16" s="326" t="s">
        <v>9</v>
      </c>
      <c r="O16" s="336">
        <f>SUM('8.2 Kumulieren'!AH16:AL16)</f>
        <v>764</v>
      </c>
      <c r="P16" s="337">
        <f>O16/'8.2 Kumulieren'!AG16%</f>
        <v>7.5412101470733388</v>
      </c>
      <c r="R16" s="323"/>
      <c r="S16" s="330"/>
      <c r="T16" s="332"/>
    </row>
    <row r="17" spans="1:20" x14ac:dyDescent="0.25">
      <c r="B17" s="323" t="s">
        <v>113</v>
      </c>
      <c r="C17" s="330">
        <f>SUM('8.2 Kumulieren'!D17:H17)</f>
        <v>78</v>
      </c>
      <c r="D17" s="332">
        <f>C17/'8.2 Kumulieren'!C17%</f>
        <v>9.6894409937888195</v>
      </c>
      <c r="J17" s="323" t="s">
        <v>138</v>
      </c>
      <c r="K17" s="330">
        <f>SUM('8.2 Kumulieren'!X17:AB17)</f>
        <v>10</v>
      </c>
      <c r="L17" s="332">
        <f>K17/'8.2 Kumulieren'!W17%</f>
        <v>3.6900369003690039</v>
      </c>
      <c r="R17" s="326" t="s">
        <v>9</v>
      </c>
      <c r="S17" s="336">
        <f>SUM('8.2 Kumulieren'!AR17:AV17)</f>
        <v>416</v>
      </c>
      <c r="T17" s="337">
        <f>S17/'8.2 Kumulieren'!AQ17%</f>
        <v>5.0924225731423673</v>
      </c>
    </row>
    <row r="18" spans="1:20" x14ac:dyDescent="0.25">
      <c r="B18" s="323" t="s">
        <v>114</v>
      </c>
      <c r="C18" s="330">
        <f>SUM('8.2 Kumulieren'!D18:H18)</f>
        <v>32</v>
      </c>
      <c r="D18" s="332">
        <f>C18/'8.2 Kumulieren'!C18%</f>
        <v>4.3419267299864313</v>
      </c>
      <c r="J18" s="323"/>
      <c r="K18" s="330"/>
      <c r="L18" s="332"/>
    </row>
    <row r="19" spans="1:20" x14ac:dyDescent="0.25">
      <c r="B19" s="323" t="s">
        <v>115</v>
      </c>
      <c r="C19" s="330">
        <f>SUM('8.2 Kumulieren'!D19:H19)</f>
        <v>18</v>
      </c>
      <c r="D19" s="332">
        <f>C19/'8.2 Kumulieren'!C19%</f>
        <v>2.7314112291350532</v>
      </c>
      <c r="J19" s="326" t="s">
        <v>9</v>
      </c>
      <c r="K19" s="336">
        <f>SUM('8.2 Kumulieren'!X19:AB19)</f>
        <v>848</v>
      </c>
      <c r="L19" s="349">
        <f>K19/'8.2 Kumulieren'!W19%</f>
        <v>14.161656646626586</v>
      </c>
    </row>
    <row r="20" spans="1:20" x14ac:dyDescent="0.25">
      <c r="B20" s="323"/>
      <c r="C20" s="330"/>
      <c r="D20" s="332"/>
    </row>
    <row r="21" spans="1:20" x14ac:dyDescent="0.25">
      <c r="B21" s="326" t="s">
        <v>9</v>
      </c>
      <c r="C21" s="336">
        <f>SUM('8.2 Kumulieren'!D21:H21)</f>
        <v>1694</v>
      </c>
      <c r="D21" s="349">
        <f>C21/'8.2 Kumulieren'!C21%</f>
        <v>10.897394660662593</v>
      </c>
    </row>
    <row r="24" spans="1:20" ht="41.25" customHeight="1" x14ac:dyDescent="0.25">
      <c r="A24" s="328" t="s">
        <v>159</v>
      </c>
      <c r="B24" s="420" t="s">
        <v>100</v>
      </c>
      <c r="C24" s="427" t="s">
        <v>234</v>
      </c>
      <c r="D24" s="428"/>
      <c r="E24" s="339" t="s">
        <v>19</v>
      </c>
      <c r="F24" s="420" t="s">
        <v>100</v>
      </c>
      <c r="G24" s="427" t="s">
        <v>234</v>
      </c>
      <c r="H24" s="428"/>
      <c r="I24" s="339" t="s">
        <v>90</v>
      </c>
      <c r="J24" s="420" t="s">
        <v>100</v>
      </c>
      <c r="K24" s="427" t="s">
        <v>234</v>
      </c>
      <c r="L24" s="428"/>
      <c r="M24" s="339" t="s">
        <v>49</v>
      </c>
      <c r="N24" s="420" t="s">
        <v>100</v>
      </c>
      <c r="O24" s="427" t="s">
        <v>234</v>
      </c>
      <c r="P24" s="428"/>
      <c r="Q24" s="339" t="s">
        <v>21</v>
      </c>
      <c r="R24" s="420" t="s">
        <v>100</v>
      </c>
      <c r="S24" s="427" t="s">
        <v>234</v>
      </c>
      <c r="T24" s="428"/>
    </row>
    <row r="25" spans="1:20" x14ac:dyDescent="0.25">
      <c r="B25" s="421"/>
      <c r="C25" s="322" t="s">
        <v>46</v>
      </c>
      <c r="D25" s="321" t="s">
        <v>22</v>
      </c>
      <c r="F25" s="421"/>
      <c r="G25" s="322" t="s">
        <v>46</v>
      </c>
      <c r="H25" s="321" t="s">
        <v>22</v>
      </c>
      <c r="J25" s="421"/>
      <c r="K25" s="322" t="s">
        <v>46</v>
      </c>
      <c r="L25" s="321" t="s">
        <v>22</v>
      </c>
      <c r="N25" s="421"/>
      <c r="O25" s="322" t="s">
        <v>46</v>
      </c>
      <c r="P25" s="321" t="s">
        <v>22</v>
      </c>
      <c r="R25" s="421"/>
      <c r="S25" s="322" t="s">
        <v>46</v>
      </c>
      <c r="T25" s="321" t="s">
        <v>22</v>
      </c>
    </row>
    <row r="26" spans="1:20" x14ac:dyDescent="0.25">
      <c r="B26" s="323"/>
      <c r="C26" s="323"/>
      <c r="D26" s="324"/>
      <c r="F26" s="323"/>
      <c r="G26" s="323"/>
      <c r="H26" s="324"/>
      <c r="J26" s="323"/>
      <c r="K26" s="323"/>
      <c r="L26" s="324"/>
      <c r="N26" s="323"/>
      <c r="O26" s="323"/>
      <c r="P26" s="324"/>
      <c r="R26" s="323"/>
      <c r="S26" s="323"/>
      <c r="T26" s="324"/>
    </row>
    <row r="27" spans="1:20" x14ac:dyDescent="0.25">
      <c r="B27" s="323" t="s">
        <v>158</v>
      </c>
      <c r="C27" s="330">
        <f>SUM('8.2 Kumulieren'!D27:H27)</f>
        <v>92</v>
      </c>
      <c r="D27" s="332">
        <f>C27/'8.2 Kumulieren'!C27%</f>
        <v>13.333333333333332</v>
      </c>
      <c r="F27" s="325" t="s">
        <v>166</v>
      </c>
      <c r="G27" s="333">
        <f>SUM('8.2 Kumulieren'!N27:R27)</f>
        <v>74</v>
      </c>
      <c r="H27" s="346">
        <f>G27/'8.2 Kumulieren'!M27%</f>
        <v>13.503649635036496</v>
      </c>
      <c r="J27" s="325" t="s">
        <v>171</v>
      </c>
      <c r="K27" s="333">
        <f>SUM('8.2 Kumulieren'!X27:AB27)</f>
        <v>76</v>
      </c>
      <c r="L27" s="344">
        <f>K27/'8.2 Kumulieren'!W27%</f>
        <v>18.225419664268586</v>
      </c>
      <c r="N27" s="342" t="s">
        <v>178</v>
      </c>
      <c r="O27" s="333">
        <f>SUM('8.2 Kumulieren'!AH27:AL27)</f>
        <v>24</v>
      </c>
      <c r="P27" s="346">
        <f>O27/'8.2 Kumulieren'!AG27%</f>
        <v>5.0632911392405058</v>
      </c>
      <c r="R27" s="341" t="s">
        <v>182</v>
      </c>
      <c r="S27" s="330">
        <f>SUM('8.2 Kumulieren'!AR27:AV27)</f>
        <v>50</v>
      </c>
      <c r="T27" s="332">
        <f>S27/'8.2 Kumulieren'!AQ27%</f>
        <v>4.7755491881566376</v>
      </c>
    </row>
    <row r="28" spans="1:20" x14ac:dyDescent="0.25">
      <c r="B28" s="325" t="s">
        <v>160</v>
      </c>
      <c r="C28" s="333">
        <f>SUM('8.2 Kumulieren'!D28:H28)</f>
        <v>38</v>
      </c>
      <c r="D28" s="346">
        <f>C28/'8.2 Kumulieren'!C28%</f>
        <v>7.2657743785850855</v>
      </c>
      <c r="F28" s="350" t="s">
        <v>167</v>
      </c>
      <c r="G28" s="330">
        <f>SUM('8.2 Kumulieren'!N28:R28)</f>
        <v>24</v>
      </c>
      <c r="H28" s="332">
        <f>G28/'8.2 Kumulieren'!M28%</f>
        <v>8.0267558528428093</v>
      </c>
      <c r="J28" s="323" t="s">
        <v>172</v>
      </c>
      <c r="K28" s="330">
        <f>SUM('8.2 Kumulieren'!X28:AB28)</f>
        <v>12</v>
      </c>
      <c r="L28" s="347">
        <f>K28/'8.2 Kumulieren'!W28%</f>
        <v>7.8431372549019605</v>
      </c>
      <c r="N28" s="350" t="s">
        <v>179</v>
      </c>
      <c r="O28" s="334">
        <f>SUM('8.2 Kumulieren'!AH28:AL28)</f>
        <v>12</v>
      </c>
      <c r="P28" s="353">
        <f>O28/'8.2 Kumulieren'!AG28%</f>
        <v>3.4188034188034191</v>
      </c>
      <c r="R28" s="325" t="s">
        <v>183</v>
      </c>
      <c r="S28" s="333">
        <f>SUM('8.2 Kumulieren'!AR28:AV28)</f>
        <v>48</v>
      </c>
      <c r="T28" s="346">
        <f>S28/'8.2 Kumulieren'!AQ28%</f>
        <v>4.597701149425288</v>
      </c>
    </row>
    <row r="29" spans="1:20" x14ac:dyDescent="0.25">
      <c r="B29" s="323" t="s">
        <v>161</v>
      </c>
      <c r="C29" s="330">
        <f>SUM('8.2 Kumulieren'!D29:H29)</f>
        <v>62</v>
      </c>
      <c r="D29" s="332">
        <f>C29/'8.2 Kumulieren'!C29%</f>
        <v>15.5</v>
      </c>
      <c r="F29" s="350" t="s">
        <v>168</v>
      </c>
      <c r="G29" s="330">
        <f>SUM('8.2 Kumulieren'!N29:R29)</f>
        <v>34</v>
      </c>
      <c r="H29" s="332">
        <f>G29/'8.2 Kumulieren'!M29%</f>
        <v>11.76470588235294</v>
      </c>
      <c r="J29" s="323" t="s">
        <v>173</v>
      </c>
      <c r="K29" s="330">
        <f>SUM('8.2 Kumulieren'!X29:AB29)</f>
        <v>4</v>
      </c>
      <c r="L29" s="347">
        <f>K29/'8.2 Kumulieren'!W29%</f>
        <v>2.9411764705882351</v>
      </c>
      <c r="N29" s="350" t="s">
        <v>180</v>
      </c>
      <c r="O29" s="330">
        <f>SUM('8.2 Kumulieren'!AH29:AL29)</f>
        <v>2</v>
      </c>
      <c r="P29" s="347">
        <f>O29/'8.2 Kumulieren'!AG29%</f>
        <v>0.63897763578274758</v>
      </c>
      <c r="R29" s="323" t="s">
        <v>184</v>
      </c>
      <c r="S29" s="330">
        <f>SUM('8.2 Kumulieren'!AR29:AV29)</f>
        <v>38</v>
      </c>
      <c r="T29" s="332">
        <f>S29/'8.2 Kumulieren'!AQ29%</f>
        <v>3.7073170731707319</v>
      </c>
    </row>
    <row r="30" spans="1:20" x14ac:dyDescent="0.25">
      <c r="B30" s="323" t="s">
        <v>162</v>
      </c>
      <c r="C30" s="330">
        <f>SUM('8.2 Kumulieren'!D30:H30)</f>
        <v>30</v>
      </c>
      <c r="D30" s="332">
        <f>C30/'8.2 Kumulieren'!C30%</f>
        <v>9.2592592592592595</v>
      </c>
      <c r="F30" s="350" t="s">
        <v>169</v>
      </c>
      <c r="G30" s="330">
        <f>SUM('8.2 Kumulieren'!N30:R30)</f>
        <v>40</v>
      </c>
      <c r="H30" s="332">
        <f>G30/'8.2 Kumulieren'!M30%</f>
        <v>15.686274509803923</v>
      </c>
      <c r="J30" s="323" t="s">
        <v>174</v>
      </c>
      <c r="K30" s="330">
        <f>SUM('8.2 Kumulieren'!X30:AB30)</f>
        <v>14</v>
      </c>
      <c r="L30" s="347">
        <f>K30/'8.2 Kumulieren'!W30%</f>
        <v>10.37037037037037</v>
      </c>
      <c r="N30" s="350" t="s">
        <v>181</v>
      </c>
      <c r="O30" s="330">
        <f>SUM('8.2 Kumulieren'!AH30:AL30)</f>
        <v>20</v>
      </c>
      <c r="P30" s="347">
        <f>O30/'8.2 Kumulieren'!AG30%</f>
        <v>8.1632653061224492</v>
      </c>
      <c r="R30" s="323" t="s">
        <v>185</v>
      </c>
      <c r="S30" s="330">
        <f>SUM('8.2 Kumulieren'!AR30:AV30)</f>
        <v>12</v>
      </c>
      <c r="T30" s="332">
        <f>S30/'8.2 Kumulieren'!AQ30%</f>
        <v>2.5210084033613445</v>
      </c>
    </row>
    <row r="31" spans="1:20" x14ac:dyDescent="0.25">
      <c r="B31" s="323" t="s">
        <v>163</v>
      </c>
      <c r="C31" s="330">
        <f>SUM('8.2 Kumulieren'!D31:H31)</f>
        <v>12</v>
      </c>
      <c r="D31" s="332">
        <f>C31/'8.2 Kumulieren'!C31%</f>
        <v>4.3478260869565224</v>
      </c>
      <c r="F31" s="350" t="s">
        <v>170</v>
      </c>
      <c r="G31" s="330">
        <f>SUM('8.2 Kumulieren'!N31:R31)</f>
        <v>4</v>
      </c>
      <c r="H31" s="332">
        <f>G31/'8.2 Kumulieren'!M31%</f>
        <v>2.5806451612903225</v>
      </c>
      <c r="J31" s="323" t="s">
        <v>175</v>
      </c>
      <c r="K31" s="330">
        <f>SUM('8.2 Kumulieren'!X31:AB31)</f>
        <v>12</v>
      </c>
      <c r="L31" s="347">
        <f>K31/'8.2 Kumulieren'!W31%</f>
        <v>9.67741935483871</v>
      </c>
      <c r="N31" s="350"/>
      <c r="O31" s="330"/>
      <c r="P31" s="347"/>
      <c r="R31" s="323"/>
      <c r="S31" s="330"/>
      <c r="T31" s="332"/>
    </row>
    <row r="32" spans="1:20" x14ac:dyDescent="0.25">
      <c r="B32" s="323" t="s">
        <v>164</v>
      </c>
      <c r="C32" s="330">
        <f>SUM('8.2 Kumulieren'!D32:H32)</f>
        <v>6</v>
      </c>
      <c r="D32" s="332">
        <f>C32/'8.2 Kumulieren'!C32%</f>
        <v>2.4489795918367343</v>
      </c>
      <c r="F32" s="350"/>
      <c r="G32" s="330"/>
      <c r="H32" s="332"/>
      <c r="J32" s="323" t="s">
        <v>176</v>
      </c>
      <c r="K32" s="330">
        <f>SUM('8.2 Kumulieren'!X32:AB32)</f>
        <v>2</v>
      </c>
      <c r="L32" s="347">
        <f>K32/'8.2 Kumulieren'!W32%</f>
        <v>1.6949152542372883</v>
      </c>
      <c r="N32" s="326" t="s">
        <v>9</v>
      </c>
      <c r="O32" s="336">
        <f>SUM('8.2 Kumulieren'!AH32:AL32)</f>
        <v>58</v>
      </c>
      <c r="P32" s="337">
        <f>O32/'8.2 Kumulieren'!AG32%</f>
        <v>4.1937816341287055</v>
      </c>
      <c r="R32" s="326" t="s">
        <v>9</v>
      </c>
      <c r="S32" s="336">
        <f>SUM('8.2 Kumulieren'!AR32:AV32)</f>
        <v>148</v>
      </c>
      <c r="T32" s="337">
        <f>S32/'8.2 Kumulieren'!AQ32%</f>
        <v>4.1202672605790642</v>
      </c>
    </row>
    <row r="33" spans="1:20" x14ac:dyDescent="0.25">
      <c r="B33" s="323" t="s">
        <v>165</v>
      </c>
      <c r="C33" s="330">
        <f>SUM('8.2 Kumulieren'!D33:H33)</f>
        <v>10</v>
      </c>
      <c r="D33" s="332">
        <f>C33/'8.2 Kumulieren'!C33%</f>
        <v>5.0505050505050502</v>
      </c>
      <c r="F33" s="326" t="s">
        <v>9</v>
      </c>
      <c r="G33" s="352">
        <f>SUM('8.2 Kumulieren'!N33:R33)</f>
        <v>176</v>
      </c>
      <c r="H33" s="349">
        <f>G33/'8.2 Kumulieren'!M33%</f>
        <v>11.384217335058214</v>
      </c>
      <c r="J33" s="323" t="s">
        <v>177</v>
      </c>
      <c r="K33" s="330">
        <f>SUM('8.2 Kumulieren'!X33:AB33)</f>
        <v>2</v>
      </c>
      <c r="L33" s="347">
        <f>K33/'8.2 Kumulieren'!W33%</f>
        <v>2.061855670103093</v>
      </c>
    </row>
    <row r="34" spans="1:20" x14ac:dyDescent="0.25">
      <c r="B34" s="323"/>
      <c r="C34" s="330"/>
      <c r="D34" s="332"/>
      <c r="J34" s="323"/>
      <c r="K34" s="330"/>
      <c r="L34" s="347"/>
    </row>
    <row r="35" spans="1:20" x14ac:dyDescent="0.25">
      <c r="B35" s="326" t="s">
        <v>9</v>
      </c>
      <c r="C35" s="336">
        <f>SUM('8.2 Kumulieren'!D35:H35)</f>
        <v>250</v>
      </c>
      <c r="D35" s="349">
        <f>C35/'8.2 Kumulieren'!C35%</f>
        <v>9.4126506024096397</v>
      </c>
      <c r="J35" s="326" t="s">
        <v>9</v>
      </c>
      <c r="K35" s="336">
        <f>SUM('8.2 Kumulieren'!X35:AB35)</f>
        <v>122</v>
      </c>
      <c r="L35" s="349">
        <f>K35/'8.2 Kumulieren'!W35%</f>
        <v>10.338983050847457</v>
      </c>
    </row>
    <row r="38" spans="1:20" ht="41.25" customHeight="1" x14ac:dyDescent="0.25">
      <c r="A38" s="328" t="s">
        <v>186</v>
      </c>
      <c r="B38" s="420" t="s">
        <v>100</v>
      </c>
      <c r="C38" s="427" t="s">
        <v>234</v>
      </c>
      <c r="D38" s="428"/>
      <c r="E38" s="339" t="s">
        <v>19</v>
      </c>
      <c r="F38" s="420" t="s">
        <v>100</v>
      </c>
      <c r="G38" s="427" t="s">
        <v>234</v>
      </c>
      <c r="H38" s="428"/>
      <c r="I38" s="339" t="s">
        <v>90</v>
      </c>
      <c r="J38" s="312" t="s">
        <v>195</v>
      </c>
      <c r="M38" s="339" t="s">
        <v>49</v>
      </c>
      <c r="N38" s="420" t="s">
        <v>100</v>
      </c>
      <c r="O38" s="427" t="s">
        <v>234</v>
      </c>
      <c r="P38" s="428"/>
      <c r="Q38" s="339" t="s">
        <v>21</v>
      </c>
      <c r="R38" s="420" t="s">
        <v>100</v>
      </c>
      <c r="S38" s="427" t="s">
        <v>234</v>
      </c>
      <c r="T38" s="428"/>
    </row>
    <row r="39" spans="1:20" x14ac:dyDescent="0.25">
      <c r="B39" s="421"/>
      <c r="C39" s="322" t="s">
        <v>46</v>
      </c>
      <c r="D39" s="321" t="s">
        <v>22</v>
      </c>
      <c r="F39" s="421"/>
      <c r="G39" s="322" t="s">
        <v>46</v>
      </c>
      <c r="H39" s="321" t="s">
        <v>22</v>
      </c>
      <c r="N39" s="421"/>
      <c r="O39" s="322" t="s">
        <v>46</v>
      </c>
      <c r="P39" s="321" t="s">
        <v>22</v>
      </c>
      <c r="R39" s="421"/>
      <c r="S39" s="322" t="s">
        <v>46</v>
      </c>
      <c r="T39" s="321" t="s">
        <v>22</v>
      </c>
    </row>
    <row r="40" spans="1:20" x14ac:dyDescent="0.25">
      <c r="B40" s="323"/>
      <c r="C40" s="323"/>
      <c r="D40" s="324"/>
      <c r="F40" s="323"/>
      <c r="G40" s="323"/>
      <c r="H40" s="324"/>
      <c r="N40" s="323"/>
      <c r="O40" s="323"/>
      <c r="P40" s="324"/>
      <c r="R40" s="323"/>
      <c r="S40" s="323"/>
      <c r="T40" s="324"/>
    </row>
    <row r="41" spans="1:20" x14ac:dyDescent="0.25">
      <c r="B41" s="342" t="s">
        <v>187</v>
      </c>
      <c r="C41" s="333">
        <f>SUM('8.2 Kumulieren'!D41:H41)</f>
        <v>64</v>
      </c>
      <c r="D41" s="346">
        <f>C41/'8.2 Kumulieren'!C41%</f>
        <v>10.40650406504065</v>
      </c>
      <c r="F41" s="342" t="s">
        <v>192</v>
      </c>
      <c r="G41" s="333">
        <f>SUM('8.2 Kumulieren'!N41:R41)</f>
        <v>192</v>
      </c>
      <c r="H41" s="346">
        <f>G41/'8.2 Kumulieren'!M41%</f>
        <v>24.181360201511335</v>
      </c>
      <c r="N41" s="341" t="s">
        <v>196</v>
      </c>
      <c r="O41" s="330">
        <f>SUM('8.2 Kumulieren'!AH41:AL41)</f>
        <v>76</v>
      </c>
      <c r="P41" s="332">
        <f>O41/'8.2 Kumulieren'!AG41%</f>
        <v>9.7686375321336758</v>
      </c>
      <c r="R41" s="341" t="s">
        <v>200</v>
      </c>
      <c r="S41" s="330">
        <f>SUM('8.2 Kumulieren'!AR41:AV41)</f>
        <v>142</v>
      </c>
      <c r="T41" s="332">
        <f>S41/'8.2 Kumulieren'!AQ41%</f>
        <v>16.473317865429237</v>
      </c>
    </row>
    <row r="42" spans="1:20" x14ac:dyDescent="0.25">
      <c r="B42" s="350" t="s">
        <v>188</v>
      </c>
      <c r="C42" s="330">
        <f>SUM('8.2 Kumulieren'!D42:H42)</f>
        <v>82</v>
      </c>
      <c r="D42" s="347">
        <f>C42/'8.2 Kumulieren'!C42%</f>
        <v>14.936247723132968</v>
      </c>
      <c r="F42" s="323" t="s">
        <v>193</v>
      </c>
      <c r="G42" s="330">
        <f>SUM('8.2 Kumulieren'!N42:R42)</f>
        <v>56</v>
      </c>
      <c r="H42" s="332">
        <f>G42/'8.2 Kumulieren'!M42%</f>
        <v>11.740041928721174</v>
      </c>
      <c r="N42" s="325" t="s">
        <v>197</v>
      </c>
      <c r="O42" s="333">
        <f>SUM('8.2 Kumulieren'!AH42:AL42)</f>
        <v>38</v>
      </c>
      <c r="P42" s="346">
        <f>O42/'8.2 Kumulieren'!AG42%</f>
        <v>5.3221288515406169</v>
      </c>
      <c r="R42" s="325" t="s">
        <v>201</v>
      </c>
      <c r="S42" s="333">
        <f>SUM('8.2 Kumulieren'!AR42:AV42)</f>
        <v>22</v>
      </c>
      <c r="T42" s="346">
        <f>S42/'8.2 Kumulieren'!AQ42%</f>
        <v>3.9215686274509802</v>
      </c>
    </row>
    <row r="43" spans="1:20" x14ac:dyDescent="0.25">
      <c r="B43" s="350" t="s">
        <v>189</v>
      </c>
      <c r="C43" s="330">
        <f>SUM('8.2 Kumulieren'!D43:H43)</f>
        <v>46</v>
      </c>
      <c r="D43" s="347">
        <f>C43/'8.2 Kumulieren'!C43%</f>
        <v>13.897280966767372</v>
      </c>
      <c r="F43" s="350" t="s">
        <v>194</v>
      </c>
      <c r="G43" s="330">
        <f>SUM('8.2 Kumulieren'!N43:R43)</f>
        <v>4</v>
      </c>
      <c r="H43" s="332">
        <f>G43/'8.2 Kumulieren'!M43%</f>
        <v>1.6194331983805668</v>
      </c>
      <c r="N43" s="323" t="s">
        <v>198</v>
      </c>
      <c r="O43" s="330">
        <f>SUM('8.2 Kumulieren'!AH43:AL43)</f>
        <v>28</v>
      </c>
      <c r="P43" s="332">
        <f>O43/'8.2 Kumulieren'!AG43%</f>
        <v>7.8651685393258424</v>
      </c>
      <c r="R43" s="323" t="s">
        <v>202</v>
      </c>
      <c r="S43" s="330">
        <f>SUM('8.2 Kumulieren'!AR43:AV43)</f>
        <v>16</v>
      </c>
      <c r="T43" s="332">
        <f>S43/'8.2 Kumulieren'!AQ43%</f>
        <v>6.0377358490566042</v>
      </c>
    </row>
    <row r="44" spans="1:20" x14ac:dyDescent="0.25">
      <c r="B44" s="350" t="s">
        <v>190</v>
      </c>
      <c r="C44" s="330">
        <f>SUM('8.2 Kumulieren'!D44:H44)</f>
        <v>16</v>
      </c>
      <c r="D44" s="347">
        <f>C44/'8.2 Kumulieren'!C44%</f>
        <v>5.7761732851985563</v>
      </c>
      <c r="F44" s="350"/>
      <c r="G44" s="330"/>
      <c r="H44" s="332"/>
      <c r="N44" s="323" t="s">
        <v>199</v>
      </c>
      <c r="O44" s="330">
        <f>SUM('8.2 Kumulieren'!AH44:AL44)</f>
        <v>10</v>
      </c>
      <c r="P44" s="332">
        <f>O44/'8.2 Kumulieren'!AG44%</f>
        <v>3.5087719298245612</v>
      </c>
      <c r="R44" s="323" t="s">
        <v>203</v>
      </c>
      <c r="S44" s="330">
        <f>SUM('8.2 Kumulieren'!AR44:AV44)</f>
        <v>2</v>
      </c>
      <c r="T44" s="332">
        <f>S44/'8.2 Kumulieren'!AQ44%</f>
        <v>0.79365079365079361</v>
      </c>
    </row>
    <row r="45" spans="1:20" x14ac:dyDescent="0.25">
      <c r="B45" s="350"/>
      <c r="C45" s="330"/>
      <c r="D45" s="347"/>
      <c r="F45" s="326" t="s">
        <v>9</v>
      </c>
      <c r="G45" s="336">
        <f>SUM('8.2 Kumulieren'!N45:R45)</f>
        <v>252</v>
      </c>
      <c r="H45" s="349">
        <f>G45/'8.2 Kumulieren'!M45%</f>
        <v>16.600790513833992</v>
      </c>
      <c r="N45" s="323"/>
      <c r="O45" s="330"/>
      <c r="P45" s="332"/>
      <c r="R45" s="323"/>
      <c r="S45" s="330"/>
      <c r="T45" s="332"/>
    </row>
    <row r="46" spans="1:20" x14ac:dyDescent="0.25">
      <c r="B46" s="351" t="s">
        <v>9</v>
      </c>
      <c r="C46" s="336">
        <f>SUM('8.2 Kumulieren'!D46:H46)</f>
        <v>208</v>
      </c>
      <c r="D46" s="349">
        <f>C46/'8.2 Kumulieren'!C46%</f>
        <v>11.738148984198647</v>
      </c>
      <c r="N46" s="326" t="s">
        <v>9</v>
      </c>
      <c r="O46" s="336">
        <f>SUM('8.2 Kumulieren'!AH46:AL46)</f>
        <v>152</v>
      </c>
      <c r="P46" s="337">
        <f>O46/'8.2 Kumulieren'!AG46%</f>
        <v>7.1261134552273795</v>
      </c>
      <c r="R46" s="326" t="s">
        <v>9</v>
      </c>
      <c r="S46" s="336">
        <f>SUM('8.2 Kumulieren'!AR46:AV46)</f>
        <v>182</v>
      </c>
      <c r="T46" s="337">
        <f>S46/'8.2 Kumulieren'!AQ46%</f>
        <v>9.3814432989690726</v>
      </c>
    </row>
    <row r="49" spans="1:20" ht="41.25" customHeight="1" x14ac:dyDescent="0.25">
      <c r="A49" s="328" t="s">
        <v>204</v>
      </c>
      <c r="B49" s="420" t="s">
        <v>100</v>
      </c>
      <c r="C49" s="427" t="s">
        <v>234</v>
      </c>
      <c r="D49" s="428"/>
      <c r="E49" s="339" t="s">
        <v>19</v>
      </c>
      <c r="F49" s="420" t="s">
        <v>100</v>
      </c>
      <c r="G49" s="427" t="s">
        <v>234</v>
      </c>
      <c r="H49" s="428"/>
      <c r="I49" s="339" t="s">
        <v>90</v>
      </c>
      <c r="J49" s="420" t="s">
        <v>100</v>
      </c>
      <c r="K49" s="427" t="s">
        <v>234</v>
      </c>
      <c r="L49" s="428"/>
      <c r="M49" s="339" t="s">
        <v>49</v>
      </c>
      <c r="N49" s="420" t="s">
        <v>100</v>
      </c>
      <c r="O49" s="427" t="s">
        <v>234</v>
      </c>
      <c r="P49" s="428"/>
      <c r="Q49" s="339" t="s">
        <v>21</v>
      </c>
      <c r="R49" s="420" t="s">
        <v>100</v>
      </c>
      <c r="S49" s="427" t="s">
        <v>234</v>
      </c>
      <c r="T49" s="428"/>
    </row>
    <row r="50" spans="1:20" x14ac:dyDescent="0.25">
      <c r="B50" s="421"/>
      <c r="C50" s="322" t="s">
        <v>46</v>
      </c>
      <c r="D50" s="321" t="s">
        <v>22</v>
      </c>
      <c r="F50" s="421"/>
      <c r="G50" s="322" t="s">
        <v>46</v>
      </c>
      <c r="H50" s="321" t="s">
        <v>22</v>
      </c>
      <c r="J50" s="421"/>
      <c r="K50" s="322" t="s">
        <v>46</v>
      </c>
      <c r="L50" s="321" t="s">
        <v>22</v>
      </c>
      <c r="N50" s="421"/>
      <c r="O50" s="322" t="s">
        <v>46</v>
      </c>
      <c r="P50" s="321" t="s">
        <v>22</v>
      </c>
      <c r="R50" s="421"/>
      <c r="S50" s="322" t="s">
        <v>46</v>
      </c>
      <c r="T50" s="321" t="s">
        <v>22</v>
      </c>
    </row>
    <row r="51" spans="1:20" x14ac:dyDescent="0.25">
      <c r="B51" s="323"/>
      <c r="C51" s="323"/>
      <c r="D51" s="324"/>
      <c r="F51" s="323"/>
      <c r="G51" s="323"/>
      <c r="H51" s="324"/>
      <c r="J51" s="338"/>
      <c r="K51" s="338"/>
      <c r="L51" s="343"/>
      <c r="N51" s="323"/>
      <c r="O51" s="323"/>
      <c r="P51" s="324"/>
      <c r="R51" s="323"/>
      <c r="S51" s="323"/>
      <c r="T51" s="324"/>
    </row>
    <row r="52" spans="1:20" x14ac:dyDescent="0.25">
      <c r="B52" s="323" t="s">
        <v>205</v>
      </c>
      <c r="C52" s="330">
        <f>SUM('8.2 Kumulieren'!D52:H52)</f>
        <v>488</v>
      </c>
      <c r="D52" s="332">
        <f>C52/'8.2 Kumulieren'!C52%</f>
        <v>26.798462383305875</v>
      </c>
      <c r="F52" s="323" t="s">
        <v>212</v>
      </c>
      <c r="G52" s="330">
        <f>SUM('8.2 Kumulieren'!N52:R52)</f>
        <v>276</v>
      </c>
      <c r="H52" s="332">
        <f>G52/'8.2 Kumulieren'!M52%</f>
        <v>26.285714285714285</v>
      </c>
      <c r="J52" s="341" t="s">
        <v>218</v>
      </c>
      <c r="K52" s="330">
        <f>SUM('8.2 Kumulieren'!X52:AB52)</f>
        <v>40</v>
      </c>
      <c r="L52" s="347">
        <f>K52/'8.2 Kumulieren'!W52%</f>
        <v>14.234875444839858</v>
      </c>
      <c r="N52" s="325" t="s">
        <v>221</v>
      </c>
      <c r="O52" s="333">
        <f>SUM('8.2 Kumulieren'!AH52:AL52)</f>
        <v>154</v>
      </c>
      <c r="P52" s="346">
        <f>O52/'8.2 Kumulieren'!AG52%</f>
        <v>22.547584187408493</v>
      </c>
      <c r="R52" s="323" t="s">
        <v>228</v>
      </c>
      <c r="S52" s="330">
        <f>SUM('8.2 Kumulieren'!AR52:AV52)</f>
        <v>80</v>
      </c>
      <c r="T52" s="332">
        <f>S52/'8.2 Kumulieren'!AQ52%</f>
        <v>8.3857442348008391</v>
      </c>
    </row>
    <row r="53" spans="1:20" x14ac:dyDescent="0.25">
      <c r="B53" s="323" t="s">
        <v>206</v>
      </c>
      <c r="C53" s="330">
        <f>SUM('8.2 Kumulieren'!D53:H53)</f>
        <v>158</v>
      </c>
      <c r="D53" s="332">
        <f>C53/'8.2 Kumulieren'!C53%</f>
        <v>12.238574748257165</v>
      </c>
      <c r="F53" s="325" t="s">
        <v>213</v>
      </c>
      <c r="G53" s="333">
        <f>SUM('8.2 Kumulieren'!N53:R53)</f>
        <v>190</v>
      </c>
      <c r="H53" s="346">
        <f>G53/'8.2 Kumulieren'!M53%</f>
        <v>20.787746170678336</v>
      </c>
      <c r="J53" s="323" t="s">
        <v>219</v>
      </c>
      <c r="K53" s="330">
        <f>SUM('8.2 Kumulieren'!X53:AB53)</f>
        <v>46</v>
      </c>
      <c r="L53" s="347">
        <f>K53/'8.2 Kumulieren'!W53%</f>
        <v>18.699186991869919</v>
      </c>
      <c r="N53" s="323" t="s">
        <v>222</v>
      </c>
      <c r="O53" s="330">
        <f>SUM('8.2 Kumulieren'!AH53:AL53)</f>
        <v>24</v>
      </c>
      <c r="P53" s="332">
        <f>O53/'8.2 Kumulieren'!AG53%</f>
        <v>6.2015503875968987</v>
      </c>
      <c r="R53" s="325" t="s">
        <v>229</v>
      </c>
      <c r="S53" s="333">
        <f>SUM('8.2 Kumulieren'!AR53:AV53)</f>
        <v>52</v>
      </c>
      <c r="T53" s="346">
        <f>S53/'8.2 Kumulieren'!AQ53%</f>
        <v>5.9023836549375703</v>
      </c>
    </row>
    <row r="54" spans="1:20" x14ac:dyDescent="0.25">
      <c r="B54" s="323" t="s">
        <v>207</v>
      </c>
      <c r="C54" s="330">
        <f>SUM('8.2 Kumulieren'!D54:H54)</f>
        <v>152</v>
      </c>
      <c r="D54" s="332">
        <f>C54/'8.2 Kumulieren'!C54%</f>
        <v>18.095238095238095</v>
      </c>
      <c r="F54" s="323" t="s">
        <v>214</v>
      </c>
      <c r="G54" s="330">
        <f>SUM('8.2 Kumulieren'!N54:R54)</f>
        <v>82</v>
      </c>
      <c r="H54" s="332">
        <f>G54/'8.2 Kumulieren'!M54%</f>
        <v>14.748201438848922</v>
      </c>
      <c r="J54" s="323" t="s">
        <v>220</v>
      </c>
      <c r="K54" s="330">
        <f>SUM('8.2 Kumulieren'!X54:AB54)</f>
        <v>36</v>
      </c>
      <c r="L54" s="347">
        <f>K54/'8.2 Kumulieren'!W54%</f>
        <v>18.274111675126903</v>
      </c>
      <c r="N54" s="323" t="s">
        <v>223</v>
      </c>
      <c r="O54" s="330">
        <f>SUM('8.2 Kumulieren'!AH54:AL54)</f>
        <v>30</v>
      </c>
      <c r="P54" s="332">
        <f>O54/'8.2 Kumulieren'!AG54%</f>
        <v>9.8360655737704921</v>
      </c>
      <c r="R54" s="323" t="s">
        <v>230</v>
      </c>
      <c r="S54" s="330">
        <f>SUM('8.2 Kumulieren'!AR54:AV54)</f>
        <v>48</v>
      </c>
      <c r="T54" s="332">
        <f>S54/'8.2 Kumulieren'!AQ54%</f>
        <v>5.6804733727810657</v>
      </c>
    </row>
    <row r="55" spans="1:20" x14ac:dyDescent="0.25">
      <c r="B55" s="325" t="s">
        <v>208</v>
      </c>
      <c r="C55" s="333">
        <f>SUM('8.2 Kumulieren'!D55:H55)</f>
        <v>62</v>
      </c>
      <c r="D55" s="346">
        <f>C55/'8.2 Kumulieren'!C55%</f>
        <v>10.40268456375839</v>
      </c>
      <c r="F55" s="323" t="s">
        <v>215</v>
      </c>
      <c r="G55" s="330">
        <f>SUM('8.2 Kumulieren'!N55:R55)</f>
        <v>18</v>
      </c>
      <c r="H55" s="332">
        <f>G55/'8.2 Kumulieren'!M55%</f>
        <v>6.3604240282685511</v>
      </c>
      <c r="J55" s="323"/>
      <c r="K55" s="330"/>
      <c r="L55" s="347"/>
      <c r="N55" s="323" t="s">
        <v>224</v>
      </c>
      <c r="O55" s="330">
        <f>SUM('8.2 Kumulieren'!AH55:AL55)</f>
        <v>24</v>
      </c>
      <c r="P55" s="332">
        <f>O55/'8.2 Kumulieren'!AG55%</f>
        <v>9.6385542168674689</v>
      </c>
      <c r="R55" s="323" t="s">
        <v>231</v>
      </c>
      <c r="S55" s="330">
        <f>SUM('8.2 Kumulieren'!AR55:AV55)</f>
        <v>24</v>
      </c>
      <c r="T55" s="332">
        <f>S55/'8.2 Kumulieren'!AQ55%</f>
        <v>4.8979591836734686</v>
      </c>
    </row>
    <row r="56" spans="1:20" x14ac:dyDescent="0.25">
      <c r="B56" s="323" t="s">
        <v>209</v>
      </c>
      <c r="C56" s="330">
        <f>SUM('8.2 Kumulieren'!D56:H56)</f>
        <v>56</v>
      </c>
      <c r="D56" s="332">
        <f>C56/'8.2 Kumulieren'!C56%</f>
        <v>10.546139359698682</v>
      </c>
      <c r="F56" s="323" t="s">
        <v>216</v>
      </c>
      <c r="G56" s="330">
        <f>SUM('8.2 Kumulieren'!N56:R56)</f>
        <v>18</v>
      </c>
      <c r="H56" s="332">
        <f>G56/'8.2 Kumulieren'!M56%</f>
        <v>6.4516129032258061</v>
      </c>
      <c r="J56" s="326" t="s">
        <v>9</v>
      </c>
      <c r="K56" s="336">
        <f>SUM('8.2 Kumulieren'!X56:AB56)</f>
        <v>122</v>
      </c>
      <c r="L56" s="349">
        <f>K56/'8.2 Kumulieren'!W56%</f>
        <v>16.850828729281769</v>
      </c>
      <c r="N56" s="323" t="s">
        <v>225</v>
      </c>
      <c r="O56" s="330">
        <f>SUM('8.2 Kumulieren'!AH56:AL56)</f>
        <v>24</v>
      </c>
      <c r="P56" s="332">
        <f>O56/'8.2 Kumulieren'!AG56%</f>
        <v>10.256410256410257</v>
      </c>
      <c r="R56" s="323" t="s">
        <v>232</v>
      </c>
      <c r="S56" s="330">
        <f>SUM('8.2 Kumulieren'!AR56:AV56)</f>
        <v>8</v>
      </c>
      <c r="T56" s="332">
        <f>S56/'8.2 Kumulieren'!AQ56%</f>
        <v>2.0460358056265986</v>
      </c>
    </row>
    <row r="57" spans="1:20" x14ac:dyDescent="0.25">
      <c r="B57" s="323" t="s">
        <v>210</v>
      </c>
      <c r="C57" s="330">
        <f>SUM('8.2 Kumulieren'!D57:H57)</f>
        <v>42</v>
      </c>
      <c r="D57" s="332">
        <f>C57/'8.2 Kumulieren'!C57%</f>
        <v>8.8050314465408821</v>
      </c>
      <c r="F57" s="323" t="s">
        <v>217</v>
      </c>
      <c r="G57" s="330">
        <f>SUM('8.2 Kumulieren'!N57:R57)</f>
        <v>6</v>
      </c>
      <c r="H57" s="332">
        <f>G57/'8.2 Kumulieren'!M57%</f>
        <v>3.225806451612903</v>
      </c>
      <c r="N57" s="323" t="s">
        <v>226</v>
      </c>
      <c r="O57" s="330">
        <f>SUM('8.2 Kumulieren'!AH57:AL57)</f>
        <v>8</v>
      </c>
      <c r="P57" s="332">
        <f>O57/'8.2 Kumulieren'!AG57%</f>
        <v>3.6199095022624435</v>
      </c>
      <c r="R57" s="323" t="s">
        <v>233</v>
      </c>
      <c r="S57" s="330">
        <f>SUM('8.2 Kumulieren'!AR57:AV57)</f>
        <v>6</v>
      </c>
      <c r="T57" s="332">
        <f>S57/'8.2 Kumulieren'!AQ57%</f>
        <v>1.6666666666666665</v>
      </c>
    </row>
    <row r="58" spans="1:20" x14ac:dyDescent="0.25">
      <c r="B58" s="323" t="s">
        <v>211</v>
      </c>
      <c r="C58" s="330">
        <f>SUM('8.2 Kumulieren'!D58:H58)</f>
        <v>16</v>
      </c>
      <c r="D58" s="332">
        <f>C58/'8.2 Kumulieren'!C58%</f>
        <v>3.7825059101654843</v>
      </c>
      <c r="F58" s="323"/>
      <c r="G58" s="330"/>
      <c r="H58" s="332"/>
      <c r="N58" s="323" t="s">
        <v>227</v>
      </c>
      <c r="O58" s="330">
        <f>SUM('8.2 Kumulieren'!AH58:AL58)</f>
        <v>10</v>
      </c>
      <c r="P58" s="332">
        <f>O58/'8.2 Kumulieren'!AG58%</f>
        <v>5</v>
      </c>
      <c r="R58" s="323"/>
      <c r="S58" s="330"/>
      <c r="T58" s="332"/>
    </row>
    <row r="59" spans="1:20" x14ac:dyDescent="0.25">
      <c r="B59" s="323"/>
      <c r="C59" s="330"/>
      <c r="D59" s="332"/>
      <c r="F59" s="326" t="s">
        <v>9</v>
      </c>
      <c r="G59" s="336">
        <f>SUM('8.2 Kumulieren'!N59:R59)</f>
        <v>590</v>
      </c>
      <c r="H59" s="349">
        <f>G59/'8.2 Kumulieren'!M59%</f>
        <v>18.053855569155449</v>
      </c>
      <c r="N59" s="323"/>
      <c r="O59" s="330"/>
      <c r="P59" s="332"/>
      <c r="R59" s="326" t="s">
        <v>9</v>
      </c>
      <c r="S59" s="336">
        <f>SUM('8.2 Kumulieren'!AR59:AV59)</f>
        <v>218</v>
      </c>
      <c r="T59" s="337">
        <f>S59/'8.2 Kumulieren'!AQ59%</f>
        <v>5.559806171894925</v>
      </c>
    </row>
    <row r="60" spans="1:20" x14ac:dyDescent="0.25">
      <c r="B60" s="326" t="s">
        <v>9</v>
      </c>
      <c r="C60" s="336">
        <f>SUM('8.2 Kumulieren'!D60:H60)</f>
        <v>974</v>
      </c>
      <c r="D60" s="349">
        <f>C60/'8.2 Kumulieren'!C60%</f>
        <v>16.290349556782072</v>
      </c>
      <c r="N60" s="326" t="s">
        <v>9</v>
      </c>
      <c r="O60" s="336">
        <f t="shared" ref="O60" si="0">SUM(O52:O58)</f>
        <v>274</v>
      </c>
      <c r="P60" s="349">
        <f>O60/'8.2 Kumulieren'!AG60%</f>
        <v>12.022817025010971</v>
      </c>
    </row>
  </sheetData>
  <mergeCells count="38">
    <mergeCell ref="S3:T3"/>
    <mergeCell ref="B24:B25"/>
    <mergeCell ref="C24:D24"/>
    <mergeCell ref="F24:F25"/>
    <mergeCell ref="G24:H24"/>
    <mergeCell ref="N3:N4"/>
    <mergeCell ref="O3:P3"/>
    <mergeCell ref="R3:R4"/>
    <mergeCell ref="G3:H3"/>
    <mergeCell ref="J3:J4"/>
    <mergeCell ref="K3:L3"/>
    <mergeCell ref="B3:B4"/>
    <mergeCell ref="C3:D3"/>
    <mergeCell ref="F3:F4"/>
    <mergeCell ref="O24:P24"/>
    <mergeCell ref="R24:R25"/>
    <mergeCell ref="S24:T24"/>
    <mergeCell ref="J24:J25"/>
    <mergeCell ref="K24:L24"/>
    <mergeCell ref="N24:N25"/>
    <mergeCell ref="R38:R39"/>
    <mergeCell ref="S38:T38"/>
    <mergeCell ref="O38:P38"/>
    <mergeCell ref="B49:B50"/>
    <mergeCell ref="C49:D49"/>
    <mergeCell ref="F49:F50"/>
    <mergeCell ref="G38:H38"/>
    <mergeCell ref="N38:N39"/>
    <mergeCell ref="B38:B39"/>
    <mergeCell ref="C38:D38"/>
    <mergeCell ref="F38:F39"/>
    <mergeCell ref="S49:T49"/>
    <mergeCell ref="N49:N50"/>
    <mergeCell ref="O49:P49"/>
    <mergeCell ref="R49:R50"/>
    <mergeCell ref="G49:H49"/>
    <mergeCell ref="J49:J50"/>
    <mergeCell ref="K49:L49"/>
  </mergeCells>
  <pageMargins left="0.7" right="0.7" top="0.78740157499999996" bottom="0.78740157499999996" header="0.3" footer="0.3"/>
  <pageSetup paperSize="9" orientation="portrait" r:id="rId1"/>
  <ignoredErrors>
    <ignoredError sqref="C6 C7:C19 C27:C33 C52:C58 G6:G13 G27:G31 G52:G57 K6:K17 K27:K33 K52:K54 O6:O14 O27:O30 O52:O58 S52:S57 S27:S30 S6:S1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7E5D-80F1-4FB2-9A4D-92DDC19F532A}">
  <dimension ref="A1:BM60"/>
  <sheetViews>
    <sheetView showGridLines="0" topLeftCell="AR41" zoomScale="80" zoomScaleNormal="80" workbookViewId="0">
      <selection activeCell="BB49" sqref="BB49:BM59"/>
    </sheetView>
  </sheetViews>
  <sheetFormatPr defaultColWidth="11.453125" defaultRowHeight="13" x14ac:dyDescent="0.25"/>
  <cols>
    <col min="1" max="1" width="13.36328125" style="312" customWidth="1"/>
    <col min="2" max="2" width="22.08984375" style="312" customWidth="1"/>
    <col min="3" max="3" width="10" style="312" customWidth="1"/>
    <col min="4" max="6" width="7.90625" style="312" customWidth="1"/>
    <col min="7" max="11" width="7.08984375" style="312" customWidth="1"/>
    <col min="12" max="13" width="7.90625" style="312" customWidth="1"/>
    <col min="14" max="14" width="11.453125" style="312"/>
    <col min="15" max="15" width="22.08984375" style="312" customWidth="1"/>
    <col min="16" max="16" width="10" style="312" customWidth="1"/>
    <col min="17" max="19" width="7.90625" style="312" customWidth="1"/>
    <col min="20" max="24" width="7.08984375" style="312" customWidth="1"/>
    <col min="25" max="26" width="7.90625" style="312" customWidth="1"/>
    <col min="27" max="27" width="11.453125" style="312"/>
    <col min="28" max="28" width="22.08984375" style="312" customWidth="1"/>
    <col min="29" max="29" width="10" style="312" customWidth="1"/>
    <col min="30" max="32" width="7.90625" style="312" customWidth="1"/>
    <col min="33" max="37" width="7.08984375" style="312" customWidth="1"/>
    <col min="38" max="39" width="7.90625" style="312" customWidth="1"/>
    <col min="40" max="40" width="11.453125" style="312"/>
    <col min="41" max="41" width="22.08984375" style="312" customWidth="1"/>
    <col min="42" max="42" width="10" style="312" customWidth="1"/>
    <col min="43" max="45" width="7.90625" style="312" customWidth="1"/>
    <col min="46" max="50" width="7.08984375" style="312" customWidth="1"/>
    <col min="51" max="52" width="7.90625" style="312" customWidth="1"/>
    <col min="53" max="53" width="11.453125" style="312"/>
    <col min="54" max="54" width="22.08984375" style="312" customWidth="1"/>
    <col min="55" max="55" width="10" style="312" customWidth="1"/>
    <col min="56" max="58" width="7.90625" style="312" customWidth="1"/>
    <col min="59" max="63" width="7.08984375" style="312" customWidth="1"/>
    <col min="64" max="65" width="7.90625" style="312" customWidth="1"/>
    <col min="66" max="16384" width="11.453125" style="312"/>
  </cols>
  <sheetData>
    <row r="1" spans="1:65" x14ac:dyDescent="0.25">
      <c r="A1" s="348" t="s">
        <v>242</v>
      </c>
    </row>
    <row r="3" spans="1:65" ht="33.75" customHeight="1" x14ac:dyDescent="0.25">
      <c r="A3" s="328" t="s">
        <v>126</v>
      </c>
      <c r="B3" s="420" t="s">
        <v>100</v>
      </c>
      <c r="C3" s="422" t="s">
        <v>101</v>
      </c>
      <c r="D3" s="424" t="s">
        <v>236</v>
      </c>
      <c r="E3" s="426"/>
      <c r="F3" s="425"/>
      <c r="G3" s="424" t="s">
        <v>240</v>
      </c>
      <c r="H3" s="426"/>
      <c r="I3" s="426"/>
      <c r="J3" s="426"/>
      <c r="K3" s="425"/>
      <c r="L3" s="427" t="s">
        <v>239</v>
      </c>
      <c r="M3" s="428"/>
      <c r="N3" s="339" t="s">
        <v>19</v>
      </c>
      <c r="O3" s="420" t="s">
        <v>100</v>
      </c>
      <c r="P3" s="422" t="s">
        <v>101</v>
      </c>
      <c r="Q3" s="424" t="s">
        <v>236</v>
      </c>
      <c r="R3" s="426"/>
      <c r="S3" s="425"/>
      <c r="T3" s="424" t="s">
        <v>240</v>
      </c>
      <c r="U3" s="426"/>
      <c r="V3" s="426"/>
      <c r="W3" s="426"/>
      <c r="X3" s="425"/>
      <c r="Y3" s="427" t="s">
        <v>239</v>
      </c>
      <c r="Z3" s="428"/>
      <c r="AA3" s="339" t="s">
        <v>90</v>
      </c>
      <c r="AB3" s="420" t="s">
        <v>100</v>
      </c>
      <c r="AC3" s="422" t="s">
        <v>101</v>
      </c>
      <c r="AD3" s="424" t="s">
        <v>236</v>
      </c>
      <c r="AE3" s="426"/>
      <c r="AF3" s="425"/>
      <c r="AG3" s="424" t="s">
        <v>240</v>
      </c>
      <c r="AH3" s="426"/>
      <c r="AI3" s="426"/>
      <c r="AJ3" s="426"/>
      <c r="AK3" s="425"/>
      <c r="AL3" s="427" t="s">
        <v>239</v>
      </c>
      <c r="AM3" s="428"/>
      <c r="AN3" s="339" t="s">
        <v>49</v>
      </c>
      <c r="AO3" s="420" t="s">
        <v>100</v>
      </c>
      <c r="AP3" s="422" t="s">
        <v>101</v>
      </c>
      <c r="AQ3" s="424" t="s">
        <v>236</v>
      </c>
      <c r="AR3" s="426"/>
      <c r="AS3" s="425"/>
      <c r="AT3" s="424" t="s">
        <v>240</v>
      </c>
      <c r="AU3" s="426"/>
      <c r="AV3" s="426"/>
      <c r="AW3" s="426"/>
      <c r="AX3" s="425"/>
      <c r="AY3" s="427" t="s">
        <v>239</v>
      </c>
      <c r="AZ3" s="428"/>
      <c r="BA3" s="339" t="s">
        <v>21</v>
      </c>
      <c r="BB3" s="420" t="s">
        <v>100</v>
      </c>
      <c r="BC3" s="422" t="s">
        <v>101</v>
      </c>
      <c r="BD3" s="424" t="s">
        <v>236</v>
      </c>
      <c r="BE3" s="426"/>
      <c r="BF3" s="425"/>
      <c r="BG3" s="424" t="s">
        <v>240</v>
      </c>
      <c r="BH3" s="426"/>
      <c r="BI3" s="426"/>
      <c r="BJ3" s="426"/>
      <c r="BK3" s="425"/>
      <c r="BL3" s="427" t="s">
        <v>239</v>
      </c>
      <c r="BM3" s="428"/>
    </row>
    <row r="4" spans="1:65" x14ac:dyDescent="0.25">
      <c r="B4" s="421"/>
      <c r="C4" s="423"/>
      <c r="D4" s="327" t="s">
        <v>237</v>
      </c>
      <c r="E4" s="327" t="s">
        <v>238</v>
      </c>
      <c r="F4" s="327" t="s">
        <v>9</v>
      </c>
      <c r="G4" s="327" t="s">
        <v>19</v>
      </c>
      <c r="H4" s="327" t="s">
        <v>90</v>
      </c>
      <c r="I4" s="327" t="s">
        <v>49</v>
      </c>
      <c r="J4" s="327" t="s">
        <v>21</v>
      </c>
      <c r="K4" s="321" t="s">
        <v>102</v>
      </c>
      <c r="L4" s="322" t="s">
        <v>46</v>
      </c>
      <c r="M4" s="321" t="s">
        <v>22</v>
      </c>
      <c r="O4" s="421"/>
      <c r="P4" s="423"/>
      <c r="Q4" s="327" t="s">
        <v>237</v>
      </c>
      <c r="R4" s="327" t="s">
        <v>238</v>
      </c>
      <c r="S4" s="327" t="s">
        <v>9</v>
      </c>
      <c r="T4" s="327" t="s">
        <v>18</v>
      </c>
      <c r="U4" s="327" t="s">
        <v>90</v>
      </c>
      <c r="V4" s="327" t="s">
        <v>49</v>
      </c>
      <c r="W4" s="327" t="s">
        <v>21</v>
      </c>
      <c r="X4" s="321" t="s">
        <v>102</v>
      </c>
      <c r="Y4" s="322" t="s">
        <v>46</v>
      </c>
      <c r="Z4" s="321" t="s">
        <v>22</v>
      </c>
      <c r="AB4" s="421"/>
      <c r="AC4" s="423"/>
      <c r="AD4" s="327" t="s">
        <v>237</v>
      </c>
      <c r="AE4" s="327" t="s">
        <v>238</v>
      </c>
      <c r="AF4" s="327" t="s">
        <v>9</v>
      </c>
      <c r="AG4" s="327" t="s">
        <v>18</v>
      </c>
      <c r="AH4" s="327" t="s">
        <v>19</v>
      </c>
      <c r="AI4" s="327" t="s">
        <v>49</v>
      </c>
      <c r="AJ4" s="327" t="s">
        <v>21</v>
      </c>
      <c r="AK4" s="321" t="s">
        <v>102</v>
      </c>
      <c r="AL4" s="322" t="s">
        <v>9</v>
      </c>
      <c r="AM4" s="321" t="s">
        <v>22</v>
      </c>
      <c r="AO4" s="421"/>
      <c r="AP4" s="423"/>
      <c r="AQ4" s="327" t="s">
        <v>237</v>
      </c>
      <c r="AR4" s="327" t="s">
        <v>238</v>
      </c>
      <c r="AS4" s="327" t="s">
        <v>9</v>
      </c>
      <c r="AT4" s="327" t="s">
        <v>18</v>
      </c>
      <c r="AU4" s="327" t="s">
        <v>19</v>
      </c>
      <c r="AV4" s="327" t="s">
        <v>90</v>
      </c>
      <c r="AW4" s="327" t="s">
        <v>21</v>
      </c>
      <c r="AX4" s="321" t="s">
        <v>102</v>
      </c>
      <c r="AY4" s="322" t="s">
        <v>9</v>
      </c>
      <c r="AZ4" s="321" t="s">
        <v>22</v>
      </c>
      <c r="BB4" s="421"/>
      <c r="BC4" s="423"/>
      <c r="BD4" s="327" t="s">
        <v>237</v>
      </c>
      <c r="BE4" s="327" t="s">
        <v>238</v>
      </c>
      <c r="BF4" s="327" t="s">
        <v>9</v>
      </c>
      <c r="BG4" s="327" t="s">
        <v>18</v>
      </c>
      <c r="BH4" s="327" t="s">
        <v>19</v>
      </c>
      <c r="BI4" s="327" t="s">
        <v>90</v>
      </c>
      <c r="BJ4" s="327" t="s">
        <v>49</v>
      </c>
      <c r="BK4" s="321" t="s">
        <v>102</v>
      </c>
      <c r="BL4" s="322" t="s">
        <v>9</v>
      </c>
      <c r="BM4" s="321" t="s">
        <v>22</v>
      </c>
    </row>
    <row r="5" spans="1:65" x14ac:dyDescent="0.25">
      <c r="B5" s="323"/>
      <c r="C5" s="323"/>
      <c r="D5" s="323"/>
      <c r="E5" s="323"/>
      <c r="F5" s="323"/>
      <c r="G5" s="323"/>
      <c r="H5" s="323"/>
      <c r="I5" s="323"/>
      <c r="J5" s="323"/>
      <c r="K5" s="324"/>
      <c r="L5" s="323"/>
      <c r="M5" s="324"/>
      <c r="O5" s="323"/>
      <c r="P5" s="323"/>
      <c r="Q5" s="323"/>
      <c r="R5" s="323"/>
      <c r="S5" s="323"/>
      <c r="T5" s="323"/>
      <c r="U5" s="323"/>
      <c r="V5" s="323"/>
      <c r="W5" s="323"/>
      <c r="X5" s="324"/>
      <c r="Y5" s="323"/>
      <c r="Z5" s="324"/>
      <c r="AB5" s="323"/>
      <c r="AC5" s="323"/>
      <c r="AD5" s="323"/>
      <c r="AE5" s="323"/>
      <c r="AF5" s="323"/>
      <c r="AG5" s="323"/>
      <c r="AH5" s="323"/>
      <c r="AI5" s="323"/>
      <c r="AJ5" s="323"/>
      <c r="AK5" s="324"/>
      <c r="AL5" s="323"/>
      <c r="AM5" s="324"/>
      <c r="AO5" s="323"/>
      <c r="AP5" s="323"/>
      <c r="AQ5" s="323"/>
      <c r="AR5" s="323"/>
      <c r="AS5" s="323"/>
      <c r="AT5" s="323"/>
      <c r="AU5" s="323"/>
      <c r="AV5" s="323"/>
      <c r="AW5" s="323"/>
      <c r="AX5" s="324"/>
      <c r="AY5" s="323"/>
      <c r="AZ5" s="324"/>
      <c r="BB5" s="323"/>
      <c r="BC5" s="323"/>
      <c r="BD5" s="323"/>
      <c r="BE5" s="323"/>
      <c r="BF5" s="323"/>
      <c r="BG5" s="323"/>
      <c r="BH5" s="323"/>
      <c r="BI5" s="323"/>
      <c r="BJ5" s="323"/>
      <c r="BK5" s="324"/>
      <c r="BL5" s="323"/>
      <c r="BM5" s="324"/>
    </row>
    <row r="6" spans="1:65" x14ac:dyDescent="0.25">
      <c r="B6" s="323" t="s">
        <v>104</v>
      </c>
      <c r="C6" s="330">
        <f>F6+L6</f>
        <v>2424</v>
      </c>
      <c r="D6" s="330">
        <v>806</v>
      </c>
      <c r="E6" s="330">
        <v>823</v>
      </c>
      <c r="F6" s="330">
        <f>SUM(D6:E6)</f>
        <v>1629</v>
      </c>
      <c r="G6" s="330">
        <v>139</v>
      </c>
      <c r="H6" s="330">
        <v>95</v>
      </c>
      <c r="I6" s="330">
        <v>97</v>
      </c>
      <c r="J6" s="330">
        <v>57</v>
      </c>
      <c r="K6" s="331">
        <v>407</v>
      </c>
      <c r="L6" s="330">
        <f>SUM(G6:K6)</f>
        <v>795</v>
      </c>
      <c r="M6" s="332">
        <f>L6/C6%</f>
        <v>32.797029702970299</v>
      </c>
      <c r="O6" s="323" t="s">
        <v>117</v>
      </c>
      <c r="P6" s="330">
        <f>S6+Y6</f>
        <v>1558</v>
      </c>
      <c r="Q6" s="330">
        <v>506</v>
      </c>
      <c r="R6" s="330">
        <v>319</v>
      </c>
      <c r="S6" s="330">
        <f>SUM(Q6:R6)</f>
        <v>825</v>
      </c>
      <c r="T6" s="330">
        <v>225</v>
      </c>
      <c r="U6" s="330">
        <v>81</v>
      </c>
      <c r="V6" s="330">
        <v>73</v>
      </c>
      <c r="W6" s="330">
        <v>34</v>
      </c>
      <c r="X6" s="331">
        <v>320</v>
      </c>
      <c r="Y6" s="330">
        <f>SUM(T6:X6)</f>
        <v>733</v>
      </c>
      <c r="Z6" s="332">
        <f>Y6/P6%</f>
        <v>47.047496790757378</v>
      </c>
      <c r="AB6" s="323" t="s">
        <v>127</v>
      </c>
      <c r="AC6" s="330">
        <f t="shared" ref="AC6:AC17" si="0">AF6+AL6</f>
        <v>1140</v>
      </c>
      <c r="AD6" s="330">
        <v>314</v>
      </c>
      <c r="AE6" s="330">
        <v>288</v>
      </c>
      <c r="AF6" s="330">
        <f>SUM(AD6:AE6)</f>
        <v>602</v>
      </c>
      <c r="AG6" s="330">
        <v>123</v>
      </c>
      <c r="AH6" s="330">
        <v>54</v>
      </c>
      <c r="AI6" s="330">
        <v>116</v>
      </c>
      <c r="AJ6" s="330">
        <v>13</v>
      </c>
      <c r="AK6" s="331">
        <v>232</v>
      </c>
      <c r="AL6" s="330">
        <f>SUM(AG6:AK6)</f>
        <v>538</v>
      </c>
      <c r="AM6" s="332">
        <f t="shared" ref="AM6:AM17" si="1">AL6/AC6%</f>
        <v>47.192982456140349</v>
      </c>
      <c r="AO6" s="323" t="s">
        <v>139</v>
      </c>
      <c r="AP6" s="330">
        <f>AS6+AY6</f>
        <v>1452</v>
      </c>
      <c r="AQ6" s="330">
        <v>832</v>
      </c>
      <c r="AR6" s="330">
        <v>332</v>
      </c>
      <c r="AS6" s="330">
        <f>SUM(AQ6:AR6)</f>
        <v>1164</v>
      </c>
      <c r="AT6" s="330">
        <v>74</v>
      </c>
      <c r="AU6" s="330">
        <v>4</v>
      </c>
      <c r="AV6" s="330">
        <v>58</v>
      </c>
      <c r="AW6" s="330">
        <v>1</v>
      </c>
      <c r="AX6" s="331">
        <v>151</v>
      </c>
      <c r="AY6" s="330">
        <f>SUM(AT6:AX6)</f>
        <v>288</v>
      </c>
      <c r="AZ6" s="332">
        <f>AY6/AP6%</f>
        <v>19.834710743801654</v>
      </c>
      <c r="BB6" s="323" t="s">
        <v>148</v>
      </c>
      <c r="BC6" s="330">
        <f t="shared" ref="BC6:BC15" si="2">BF6+BL6</f>
        <v>1232</v>
      </c>
      <c r="BD6" s="330">
        <v>752</v>
      </c>
      <c r="BE6" s="330">
        <v>191</v>
      </c>
      <c r="BF6" s="330">
        <f>SUM(BD6:BE6)</f>
        <v>943</v>
      </c>
      <c r="BG6" s="330">
        <v>78</v>
      </c>
      <c r="BH6" s="330">
        <v>36</v>
      </c>
      <c r="BI6" s="330">
        <v>15</v>
      </c>
      <c r="BJ6" s="330">
        <v>3</v>
      </c>
      <c r="BK6" s="331">
        <v>157</v>
      </c>
      <c r="BL6" s="330">
        <f>SUM(BG6:BK6)</f>
        <v>289</v>
      </c>
      <c r="BM6" s="332">
        <f>BL6/BC6%</f>
        <v>23.457792207792206</v>
      </c>
    </row>
    <row r="7" spans="1:65" x14ac:dyDescent="0.25">
      <c r="B7" s="323" t="s">
        <v>105</v>
      </c>
      <c r="C7" s="330">
        <f t="shared" ref="C7:C19" si="3">F7+L7</f>
        <v>1502</v>
      </c>
      <c r="D7" s="330">
        <v>403</v>
      </c>
      <c r="E7" s="330">
        <v>562</v>
      </c>
      <c r="F7" s="330">
        <f t="shared" ref="F7:F19" si="4">SUM(D7:E7)</f>
        <v>965</v>
      </c>
      <c r="G7" s="330">
        <v>75</v>
      </c>
      <c r="H7" s="330">
        <v>69</v>
      </c>
      <c r="I7" s="330">
        <v>80</v>
      </c>
      <c r="J7" s="330">
        <v>29</v>
      </c>
      <c r="K7" s="331">
        <v>284</v>
      </c>
      <c r="L7" s="330">
        <f t="shared" ref="L7:L19" si="5">SUM(G7:K7)</f>
        <v>537</v>
      </c>
      <c r="M7" s="332">
        <f t="shared" ref="M7:M18" si="6">L7/C7%</f>
        <v>35.752330226364847</v>
      </c>
      <c r="O7" s="323" t="s">
        <v>118</v>
      </c>
      <c r="P7" s="330">
        <f t="shared" ref="P7:P13" si="7">S7+Y7</f>
        <v>1515</v>
      </c>
      <c r="Q7" s="330">
        <v>506</v>
      </c>
      <c r="R7" s="330">
        <v>308</v>
      </c>
      <c r="S7" s="330">
        <f t="shared" ref="S7:S13" si="8">SUM(Q7:R7)</f>
        <v>814</v>
      </c>
      <c r="T7" s="330">
        <v>242</v>
      </c>
      <c r="U7" s="330">
        <v>75</v>
      </c>
      <c r="V7" s="330">
        <v>50</v>
      </c>
      <c r="W7" s="330">
        <v>45</v>
      </c>
      <c r="X7" s="331">
        <v>289</v>
      </c>
      <c r="Y7" s="330">
        <f t="shared" ref="Y7:Y13" si="9">SUM(T7:X7)</f>
        <v>701</v>
      </c>
      <c r="Z7" s="332">
        <f t="shared" ref="Z7:Z13" si="10">Y7/P7%</f>
        <v>46.270627062706268</v>
      </c>
      <c r="AB7" s="325" t="s">
        <v>128</v>
      </c>
      <c r="AC7" s="333">
        <f t="shared" si="0"/>
        <v>810</v>
      </c>
      <c r="AD7" s="333">
        <v>314</v>
      </c>
      <c r="AE7" s="333">
        <v>230</v>
      </c>
      <c r="AF7" s="333">
        <f t="shared" ref="AF7:AF17" si="11">SUM(AD7:AE7)</f>
        <v>544</v>
      </c>
      <c r="AG7" s="333">
        <v>47</v>
      </c>
      <c r="AH7" s="333">
        <v>23</v>
      </c>
      <c r="AI7" s="333">
        <v>75</v>
      </c>
      <c r="AJ7" s="333">
        <v>0</v>
      </c>
      <c r="AK7" s="340">
        <v>121</v>
      </c>
      <c r="AL7" s="333">
        <f t="shared" ref="AL7:AL17" si="12">SUM(AG7:AK7)</f>
        <v>266</v>
      </c>
      <c r="AM7" s="346">
        <f t="shared" si="1"/>
        <v>32.839506172839506</v>
      </c>
      <c r="AO7" s="323" t="s">
        <v>140</v>
      </c>
      <c r="AP7" s="330">
        <f t="shared" ref="AP7:AP14" si="13">AS7+AY7</f>
        <v>1431</v>
      </c>
      <c r="AQ7" s="330">
        <v>832</v>
      </c>
      <c r="AR7" s="330">
        <v>327</v>
      </c>
      <c r="AS7" s="330">
        <f t="shared" ref="AS7:AS14" si="14">SUM(AQ7:AR7)</f>
        <v>1159</v>
      </c>
      <c r="AT7" s="330">
        <v>56</v>
      </c>
      <c r="AU7" s="330">
        <v>13</v>
      </c>
      <c r="AV7" s="330">
        <v>67</v>
      </c>
      <c r="AW7" s="330">
        <v>4</v>
      </c>
      <c r="AX7" s="331">
        <v>132</v>
      </c>
      <c r="AY7" s="330">
        <f t="shared" ref="AY7:AY14" si="15">SUM(AT7:AX7)</f>
        <v>272</v>
      </c>
      <c r="AZ7" s="332">
        <f t="shared" ref="AZ7:AZ14" si="16">AY7/AP7%</f>
        <v>19.007686932215233</v>
      </c>
      <c r="BB7" s="323" t="s">
        <v>149</v>
      </c>
      <c r="BC7" s="330">
        <f t="shared" si="2"/>
        <v>1218</v>
      </c>
      <c r="BD7" s="330">
        <v>752</v>
      </c>
      <c r="BE7" s="330">
        <v>207</v>
      </c>
      <c r="BF7" s="330">
        <f t="shared" ref="BF7:BF15" si="17">SUM(BD7:BE7)</f>
        <v>959</v>
      </c>
      <c r="BG7" s="330">
        <v>70</v>
      </c>
      <c r="BH7" s="330">
        <v>48</v>
      </c>
      <c r="BI7" s="330">
        <v>5</v>
      </c>
      <c r="BJ7" s="330">
        <v>2</v>
      </c>
      <c r="BK7" s="330">
        <v>134</v>
      </c>
      <c r="BL7" s="330">
        <f t="shared" ref="BL7:BL15" si="18">SUM(BG7:BK7)</f>
        <v>259</v>
      </c>
      <c r="BM7" s="332">
        <f t="shared" ref="BM7:BM15" si="19">BL7/BC7%</f>
        <v>21.264367816091955</v>
      </c>
    </row>
    <row r="8" spans="1:65" x14ac:dyDescent="0.25">
      <c r="B8" s="323" t="s">
        <v>106</v>
      </c>
      <c r="C8" s="330">
        <f t="shared" si="3"/>
        <v>1400</v>
      </c>
      <c r="D8" s="330">
        <v>403</v>
      </c>
      <c r="E8" s="330">
        <v>514</v>
      </c>
      <c r="F8" s="330">
        <f t="shared" si="4"/>
        <v>917</v>
      </c>
      <c r="G8" s="330">
        <v>57</v>
      </c>
      <c r="H8" s="330">
        <v>46</v>
      </c>
      <c r="I8" s="330">
        <v>63</v>
      </c>
      <c r="J8" s="330">
        <v>34</v>
      </c>
      <c r="K8" s="331">
        <v>283</v>
      </c>
      <c r="L8" s="330">
        <f t="shared" si="5"/>
        <v>483</v>
      </c>
      <c r="M8" s="332">
        <f>L8/C8%</f>
        <v>34.5</v>
      </c>
      <c r="O8" s="323" t="s">
        <v>119</v>
      </c>
      <c r="P8" s="330">
        <f t="shared" si="7"/>
        <v>1280</v>
      </c>
      <c r="Q8" s="333">
        <v>506</v>
      </c>
      <c r="R8" s="330">
        <v>304</v>
      </c>
      <c r="S8" s="333">
        <f t="shared" si="8"/>
        <v>810</v>
      </c>
      <c r="T8" s="330">
        <v>158</v>
      </c>
      <c r="U8" s="330">
        <v>25</v>
      </c>
      <c r="V8" s="330">
        <v>21</v>
      </c>
      <c r="W8" s="330">
        <v>40</v>
      </c>
      <c r="X8" s="331">
        <v>226</v>
      </c>
      <c r="Y8" s="330">
        <f t="shared" si="9"/>
        <v>470</v>
      </c>
      <c r="Z8" s="332">
        <f t="shared" si="10"/>
        <v>36.71875</v>
      </c>
      <c r="AB8" s="323" t="s">
        <v>129</v>
      </c>
      <c r="AC8" s="330">
        <f t="shared" si="0"/>
        <v>660</v>
      </c>
      <c r="AD8" s="330">
        <v>314</v>
      </c>
      <c r="AE8" s="330">
        <v>190</v>
      </c>
      <c r="AF8" s="330">
        <f t="shared" si="11"/>
        <v>504</v>
      </c>
      <c r="AG8" s="330">
        <v>41</v>
      </c>
      <c r="AH8" s="330">
        <v>11</v>
      </c>
      <c r="AI8" s="330">
        <v>29</v>
      </c>
      <c r="AJ8" s="330">
        <v>3</v>
      </c>
      <c r="AK8" s="331">
        <v>72</v>
      </c>
      <c r="AL8" s="330">
        <f t="shared" si="12"/>
        <v>156</v>
      </c>
      <c r="AM8" s="332">
        <f t="shared" si="1"/>
        <v>23.636363636363637</v>
      </c>
      <c r="AO8" s="325" t="s">
        <v>141</v>
      </c>
      <c r="AP8" s="333">
        <f t="shared" si="13"/>
        <v>1393</v>
      </c>
      <c r="AQ8" s="333">
        <v>832</v>
      </c>
      <c r="AR8" s="333">
        <v>260</v>
      </c>
      <c r="AS8" s="333">
        <f t="shared" si="14"/>
        <v>1092</v>
      </c>
      <c r="AT8" s="333">
        <v>65</v>
      </c>
      <c r="AU8" s="333">
        <v>15</v>
      </c>
      <c r="AV8" s="333">
        <v>60</v>
      </c>
      <c r="AW8" s="333">
        <v>6</v>
      </c>
      <c r="AX8" s="333">
        <v>155</v>
      </c>
      <c r="AY8" s="333">
        <f t="shared" si="15"/>
        <v>301</v>
      </c>
      <c r="AZ8" s="344">
        <f t="shared" si="16"/>
        <v>21.608040201005025</v>
      </c>
      <c r="BB8" s="325" t="s">
        <v>150</v>
      </c>
      <c r="BC8" s="333">
        <f t="shared" si="2"/>
        <v>1166</v>
      </c>
      <c r="BD8" s="333">
        <v>752</v>
      </c>
      <c r="BE8" s="333">
        <v>236</v>
      </c>
      <c r="BF8" s="333">
        <f t="shared" si="17"/>
        <v>988</v>
      </c>
      <c r="BG8" s="333">
        <v>46</v>
      </c>
      <c r="BH8" s="333">
        <v>19</v>
      </c>
      <c r="BI8" s="333">
        <v>9</v>
      </c>
      <c r="BJ8" s="333">
        <v>6</v>
      </c>
      <c r="BK8" s="340">
        <v>98</v>
      </c>
      <c r="BL8" s="333">
        <f t="shared" si="18"/>
        <v>178</v>
      </c>
      <c r="BM8" s="346">
        <f t="shared" si="19"/>
        <v>15.265866209262436</v>
      </c>
    </row>
    <row r="9" spans="1:65" x14ac:dyDescent="0.25">
      <c r="B9" s="323" t="s">
        <v>107</v>
      </c>
      <c r="C9" s="330">
        <f t="shared" si="3"/>
        <v>1398</v>
      </c>
      <c r="D9" s="333">
        <v>403</v>
      </c>
      <c r="E9" s="330">
        <v>501</v>
      </c>
      <c r="F9" s="333">
        <f t="shared" si="4"/>
        <v>904</v>
      </c>
      <c r="G9" s="330">
        <v>81</v>
      </c>
      <c r="H9" s="330">
        <v>61</v>
      </c>
      <c r="I9" s="330">
        <v>50</v>
      </c>
      <c r="J9" s="330">
        <v>32</v>
      </c>
      <c r="K9" s="331">
        <v>270</v>
      </c>
      <c r="L9" s="333">
        <f t="shared" si="5"/>
        <v>494</v>
      </c>
      <c r="M9" s="344">
        <f t="shared" si="6"/>
        <v>35.336194563662374</v>
      </c>
      <c r="O9" s="329" t="s">
        <v>120</v>
      </c>
      <c r="P9" s="334">
        <f t="shared" si="7"/>
        <v>968</v>
      </c>
      <c r="Q9" s="330">
        <v>506</v>
      </c>
      <c r="R9" s="334">
        <v>223</v>
      </c>
      <c r="S9" s="330">
        <f t="shared" si="8"/>
        <v>729</v>
      </c>
      <c r="T9" s="334">
        <v>46</v>
      </c>
      <c r="U9" s="334">
        <v>34</v>
      </c>
      <c r="V9" s="334">
        <v>26</v>
      </c>
      <c r="W9" s="334">
        <v>10</v>
      </c>
      <c r="X9" s="334">
        <v>123</v>
      </c>
      <c r="Y9" s="334">
        <f t="shared" si="9"/>
        <v>239</v>
      </c>
      <c r="Z9" s="345">
        <f t="shared" si="10"/>
        <v>24.690082644628099</v>
      </c>
      <c r="AB9" s="323" t="s">
        <v>130</v>
      </c>
      <c r="AC9" s="330">
        <f t="shared" si="0"/>
        <v>526</v>
      </c>
      <c r="AD9" s="330">
        <v>157</v>
      </c>
      <c r="AE9" s="330">
        <v>122</v>
      </c>
      <c r="AF9" s="330">
        <f t="shared" si="11"/>
        <v>279</v>
      </c>
      <c r="AG9" s="330">
        <v>58</v>
      </c>
      <c r="AH9" s="330">
        <v>21</v>
      </c>
      <c r="AI9" s="330">
        <v>32</v>
      </c>
      <c r="AJ9" s="330">
        <v>19</v>
      </c>
      <c r="AK9" s="330">
        <v>117</v>
      </c>
      <c r="AL9" s="330">
        <f t="shared" si="12"/>
        <v>247</v>
      </c>
      <c r="AM9" s="347">
        <f t="shared" si="1"/>
        <v>46.958174904942965</v>
      </c>
      <c r="AO9" s="323" t="s">
        <v>142</v>
      </c>
      <c r="AP9" s="330">
        <f t="shared" si="13"/>
        <v>1332</v>
      </c>
      <c r="AQ9" s="330">
        <v>832</v>
      </c>
      <c r="AR9" s="330">
        <v>274</v>
      </c>
      <c r="AS9" s="330">
        <f t="shared" si="14"/>
        <v>1106</v>
      </c>
      <c r="AT9" s="330">
        <v>60</v>
      </c>
      <c r="AU9" s="330">
        <v>8</v>
      </c>
      <c r="AV9" s="330">
        <v>35</v>
      </c>
      <c r="AW9" s="330">
        <v>2</v>
      </c>
      <c r="AX9" s="330">
        <v>121</v>
      </c>
      <c r="AY9" s="330">
        <f t="shared" si="15"/>
        <v>226</v>
      </c>
      <c r="AZ9" s="347">
        <f t="shared" si="16"/>
        <v>16.966966966966968</v>
      </c>
      <c r="BB9" s="323" t="s">
        <v>151</v>
      </c>
      <c r="BC9" s="330">
        <f t="shared" si="2"/>
        <v>1050</v>
      </c>
      <c r="BD9" s="330">
        <v>752</v>
      </c>
      <c r="BE9" s="330">
        <v>161</v>
      </c>
      <c r="BF9" s="330">
        <f t="shared" si="17"/>
        <v>913</v>
      </c>
      <c r="BG9" s="330">
        <v>35</v>
      </c>
      <c r="BH9" s="330">
        <v>14</v>
      </c>
      <c r="BI9" s="330">
        <v>3</v>
      </c>
      <c r="BJ9" s="330">
        <v>5</v>
      </c>
      <c r="BK9" s="330">
        <v>80</v>
      </c>
      <c r="BL9" s="330">
        <f t="shared" si="18"/>
        <v>137</v>
      </c>
      <c r="BM9" s="347">
        <f t="shared" si="19"/>
        <v>13.047619047619047</v>
      </c>
    </row>
    <row r="10" spans="1:65" x14ac:dyDescent="0.25">
      <c r="B10" s="329" t="s">
        <v>108</v>
      </c>
      <c r="C10" s="334">
        <f t="shared" si="3"/>
        <v>1320</v>
      </c>
      <c r="D10" s="330">
        <v>403</v>
      </c>
      <c r="E10" s="334">
        <v>491</v>
      </c>
      <c r="F10" s="330">
        <f t="shared" si="4"/>
        <v>894</v>
      </c>
      <c r="G10" s="334">
        <v>59</v>
      </c>
      <c r="H10" s="334">
        <v>50</v>
      </c>
      <c r="I10" s="334">
        <v>61</v>
      </c>
      <c r="J10" s="334">
        <v>27</v>
      </c>
      <c r="K10" s="335">
        <v>229</v>
      </c>
      <c r="L10" s="330">
        <f t="shared" si="5"/>
        <v>426</v>
      </c>
      <c r="M10" s="332">
        <f t="shared" si="6"/>
        <v>32.272727272727273</v>
      </c>
      <c r="O10" s="323" t="s">
        <v>121</v>
      </c>
      <c r="P10" s="330">
        <f t="shared" si="7"/>
        <v>918</v>
      </c>
      <c r="Q10" s="330">
        <v>506</v>
      </c>
      <c r="R10" s="330">
        <v>222</v>
      </c>
      <c r="S10" s="330">
        <f t="shared" si="8"/>
        <v>728</v>
      </c>
      <c r="T10" s="330">
        <v>47</v>
      </c>
      <c r="U10" s="330">
        <v>27</v>
      </c>
      <c r="V10" s="330">
        <v>4</v>
      </c>
      <c r="W10" s="330">
        <v>12</v>
      </c>
      <c r="X10" s="331">
        <v>100</v>
      </c>
      <c r="Y10" s="330">
        <f t="shared" si="9"/>
        <v>190</v>
      </c>
      <c r="Z10" s="332">
        <f t="shared" si="10"/>
        <v>20.697167755991288</v>
      </c>
      <c r="AB10" s="323" t="s">
        <v>131</v>
      </c>
      <c r="AC10" s="330">
        <f t="shared" si="0"/>
        <v>468</v>
      </c>
      <c r="AD10" s="330">
        <v>157</v>
      </c>
      <c r="AE10" s="330">
        <v>138</v>
      </c>
      <c r="AF10" s="330">
        <f t="shared" si="11"/>
        <v>295</v>
      </c>
      <c r="AG10" s="330">
        <v>33</v>
      </c>
      <c r="AH10" s="330">
        <v>7</v>
      </c>
      <c r="AI10" s="330">
        <v>51</v>
      </c>
      <c r="AJ10" s="330">
        <v>1</v>
      </c>
      <c r="AK10" s="331">
        <v>81</v>
      </c>
      <c r="AL10" s="330">
        <f t="shared" si="12"/>
        <v>173</v>
      </c>
      <c r="AM10" s="332">
        <f t="shared" si="1"/>
        <v>36.965811965811966</v>
      </c>
      <c r="AO10" s="323" t="s">
        <v>143</v>
      </c>
      <c r="AP10" s="330">
        <f t="shared" si="13"/>
        <v>1317</v>
      </c>
      <c r="AQ10" s="330">
        <v>832</v>
      </c>
      <c r="AR10" s="330">
        <v>306</v>
      </c>
      <c r="AS10" s="330">
        <f t="shared" si="14"/>
        <v>1138</v>
      </c>
      <c r="AT10" s="330">
        <v>38</v>
      </c>
      <c r="AU10" s="330">
        <v>7</v>
      </c>
      <c r="AV10" s="330">
        <v>30</v>
      </c>
      <c r="AW10" s="330">
        <v>3</v>
      </c>
      <c r="AX10" s="331">
        <v>101</v>
      </c>
      <c r="AY10" s="330">
        <f t="shared" si="15"/>
        <v>179</v>
      </c>
      <c r="AZ10" s="332">
        <f t="shared" si="16"/>
        <v>13.591495823842065</v>
      </c>
      <c r="BB10" s="323" t="s">
        <v>157</v>
      </c>
      <c r="BC10" s="330">
        <f t="shared" si="2"/>
        <v>922</v>
      </c>
      <c r="BD10" s="330">
        <v>752</v>
      </c>
      <c r="BE10" s="330">
        <v>142</v>
      </c>
      <c r="BF10" s="330">
        <f t="shared" si="17"/>
        <v>894</v>
      </c>
      <c r="BG10" s="330">
        <v>3</v>
      </c>
      <c r="BH10" s="330">
        <v>0</v>
      </c>
      <c r="BI10" s="330">
        <v>1</v>
      </c>
      <c r="BJ10" s="330">
        <v>0</v>
      </c>
      <c r="BK10" s="331">
        <v>24</v>
      </c>
      <c r="BL10" s="330">
        <f t="shared" si="18"/>
        <v>28</v>
      </c>
      <c r="BM10" s="332">
        <f t="shared" si="19"/>
        <v>3.0368763557483729</v>
      </c>
    </row>
    <row r="11" spans="1:65" x14ac:dyDescent="0.25">
      <c r="B11" s="323" t="s">
        <v>109</v>
      </c>
      <c r="C11" s="330">
        <f t="shared" si="3"/>
        <v>967</v>
      </c>
      <c r="D11" s="330">
        <v>403</v>
      </c>
      <c r="E11" s="330">
        <v>391</v>
      </c>
      <c r="F11" s="330">
        <f t="shared" si="4"/>
        <v>794</v>
      </c>
      <c r="G11" s="330">
        <v>28</v>
      </c>
      <c r="H11" s="330">
        <v>18</v>
      </c>
      <c r="I11" s="330">
        <v>27</v>
      </c>
      <c r="J11" s="330">
        <v>14</v>
      </c>
      <c r="K11" s="331">
        <v>86</v>
      </c>
      <c r="L11" s="330">
        <f t="shared" si="5"/>
        <v>173</v>
      </c>
      <c r="M11" s="332">
        <f t="shared" si="6"/>
        <v>17.890382626680456</v>
      </c>
      <c r="O11" s="323" t="s">
        <v>122</v>
      </c>
      <c r="P11" s="330">
        <f t="shared" si="7"/>
        <v>853</v>
      </c>
      <c r="Q11" s="330">
        <v>506</v>
      </c>
      <c r="R11" s="330">
        <v>217</v>
      </c>
      <c r="S11" s="330">
        <f t="shared" si="8"/>
        <v>723</v>
      </c>
      <c r="T11" s="330">
        <v>26</v>
      </c>
      <c r="U11" s="330">
        <v>18</v>
      </c>
      <c r="V11" s="330">
        <v>19</v>
      </c>
      <c r="W11" s="330">
        <v>7</v>
      </c>
      <c r="X11" s="331">
        <v>60</v>
      </c>
      <c r="Y11" s="330">
        <f t="shared" si="9"/>
        <v>130</v>
      </c>
      <c r="Z11" s="332">
        <f t="shared" si="10"/>
        <v>15.240328253223916</v>
      </c>
      <c r="AB11" s="323" t="s">
        <v>132</v>
      </c>
      <c r="AC11" s="330">
        <f t="shared" si="0"/>
        <v>377</v>
      </c>
      <c r="AD11" s="330">
        <v>157</v>
      </c>
      <c r="AE11" s="330">
        <v>102</v>
      </c>
      <c r="AF11" s="330">
        <f t="shared" si="11"/>
        <v>259</v>
      </c>
      <c r="AG11" s="330">
        <v>23</v>
      </c>
      <c r="AH11" s="330">
        <v>15</v>
      </c>
      <c r="AI11" s="330">
        <v>23</v>
      </c>
      <c r="AJ11" s="330">
        <v>1</v>
      </c>
      <c r="AK11" s="331">
        <v>56</v>
      </c>
      <c r="AL11" s="330">
        <f t="shared" si="12"/>
        <v>118</v>
      </c>
      <c r="AM11" s="332">
        <f t="shared" si="1"/>
        <v>31.299734748010611</v>
      </c>
      <c r="AO11" s="323" t="s">
        <v>144</v>
      </c>
      <c r="AP11" s="330">
        <f t="shared" si="13"/>
        <v>1271</v>
      </c>
      <c r="AQ11" s="330">
        <v>832</v>
      </c>
      <c r="AR11" s="330">
        <v>284</v>
      </c>
      <c r="AS11" s="330">
        <f t="shared" si="14"/>
        <v>1116</v>
      </c>
      <c r="AT11" s="330">
        <v>33</v>
      </c>
      <c r="AU11" s="330">
        <v>6</v>
      </c>
      <c r="AV11" s="330">
        <v>36</v>
      </c>
      <c r="AW11" s="330">
        <v>2</v>
      </c>
      <c r="AX11" s="331">
        <v>78</v>
      </c>
      <c r="AY11" s="330">
        <f t="shared" si="15"/>
        <v>155</v>
      </c>
      <c r="AZ11" s="332">
        <f t="shared" si="16"/>
        <v>12.195121951219511</v>
      </c>
      <c r="BB11" s="323" t="s">
        <v>152</v>
      </c>
      <c r="BC11" s="330">
        <f t="shared" si="2"/>
        <v>592</v>
      </c>
      <c r="BD11" s="330">
        <v>376</v>
      </c>
      <c r="BE11" s="330">
        <v>109</v>
      </c>
      <c r="BF11" s="330">
        <f t="shared" si="17"/>
        <v>485</v>
      </c>
      <c r="BG11" s="330">
        <v>25</v>
      </c>
      <c r="BH11" s="330">
        <v>18</v>
      </c>
      <c r="BI11" s="330">
        <v>5</v>
      </c>
      <c r="BJ11" s="330">
        <v>4</v>
      </c>
      <c r="BK11" s="331">
        <v>55</v>
      </c>
      <c r="BL11" s="330">
        <f t="shared" si="18"/>
        <v>107</v>
      </c>
      <c r="BM11" s="332">
        <f t="shared" si="19"/>
        <v>18.074324324324323</v>
      </c>
    </row>
    <row r="12" spans="1:65" x14ac:dyDescent="0.25">
      <c r="B12" s="323" t="s">
        <v>125</v>
      </c>
      <c r="C12" s="330">
        <f t="shared" si="3"/>
        <v>952</v>
      </c>
      <c r="D12" s="330">
        <v>403</v>
      </c>
      <c r="E12" s="330">
        <v>383</v>
      </c>
      <c r="F12" s="330">
        <f t="shared" si="4"/>
        <v>786</v>
      </c>
      <c r="G12" s="330">
        <v>30</v>
      </c>
      <c r="H12" s="330">
        <v>22</v>
      </c>
      <c r="I12" s="330">
        <v>16</v>
      </c>
      <c r="J12" s="330">
        <v>11</v>
      </c>
      <c r="K12" s="331">
        <v>87</v>
      </c>
      <c r="L12" s="330">
        <f t="shared" si="5"/>
        <v>166</v>
      </c>
      <c r="M12" s="332">
        <f t="shared" si="6"/>
        <v>17.436974789915968</v>
      </c>
      <c r="O12" s="323" t="s">
        <v>123</v>
      </c>
      <c r="P12" s="330">
        <f t="shared" si="7"/>
        <v>742</v>
      </c>
      <c r="Q12" s="330">
        <v>506</v>
      </c>
      <c r="R12" s="330">
        <v>142</v>
      </c>
      <c r="S12" s="330">
        <f t="shared" si="8"/>
        <v>648</v>
      </c>
      <c r="T12" s="330">
        <v>17</v>
      </c>
      <c r="U12" s="330">
        <v>10</v>
      </c>
      <c r="V12" s="330">
        <v>7</v>
      </c>
      <c r="W12" s="330">
        <v>14</v>
      </c>
      <c r="X12" s="331">
        <v>46</v>
      </c>
      <c r="Y12" s="330">
        <f t="shared" si="9"/>
        <v>94</v>
      </c>
      <c r="Z12" s="332">
        <f t="shared" si="10"/>
        <v>12.668463611859838</v>
      </c>
      <c r="AB12" s="323" t="s">
        <v>133</v>
      </c>
      <c r="AC12" s="330">
        <f t="shared" si="0"/>
        <v>363</v>
      </c>
      <c r="AD12" s="330">
        <v>157</v>
      </c>
      <c r="AE12" s="330">
        <v>94</v>
      </c>
      <c r="AF12" s="330">
        <f t="shared" si="11"/>
        <v>251</v>
      </c>
      <c r="AG12" s="330">
        <v>31</v>
      </c>
      <c r="AH12" s="330">
        <v>20</v>
      </c>
      <c r="AI12" s="330">
        <v>10</v>
      </c>
      <c r="AJ12" s="330">
        <v>3</v>
      </c>
      <c r="AK12" s="331">
        <v>48</v>
      </c>
      <c r="AL12" s="330">
        <f t="shared" si="12"/>
        <v>112</v>
      </c>
      <c r="AM12" s="332">
        <f t="shared" si="1"/>
        <v>30.853994490358129</v>
      </c>
      <c r="AO12" s="323" t="s">
        <v>145</v>
      </c>
      <c r="AP12" s="330">
        <f t="shared" si="13"/>
        <v>693</v>
      </c>
      <c r="AQ12" s="330">
        <v>416</v>
      </c>
      <c r="AR12" s="330">
        <v>157</v>
      </c>
      <c r="AS12" s="330">
        <f t="shared" si="14"/>
        <v>573</v>
      </c>
      <c r="AT12" s="330">
        <v>27</v>
      </c>
      <c r="AU12" s="330">
        <v>6</v>
      </c>
      <c r="AV12" s="330">
        <v>22</v>
      </c>
      <c r="AW12" s="330">
        <v>0</v>
      </c>
      <c r="AX12" s="331">
        <v>65</v>
      </c>
      <c r="AY12" s="330">
        <f t="shared" si="15"/>
        <v>120</v>
      </c>
      <c r="AZ12" s="332">
        <f t="shared" si="16"/>
        <v>17.316017316017316</v>
      </c>
      <c r="BB12" s="323" t="s">
        <v>153</v>
      </c>
      <c r="BC12" s="330">
        <f t="shared" si="2"/>
        <v>559</v>
      </c>
      <c r="BD12" s="330">
        <v>376</v>
      </c>
      <c r="BE12" s="330">
        <v>90</v>
      </c>
      <c r="BF12" s="330">
        <f t="shared" si="17"/>
        <v>466</v>
      </c>
      <c r="BG12" s="330">
        <v>14</v>
      </c>
      <c r="BH12" s="330">
        <v>18</v>
      </c>
      <c r="BI12" s="330">
        <v>5</v>
      </c>
      <c r="BJ12" s="330">
        <v>3</v>
      </c>
      <c r="BK12" s="331">
        <v>53</v>
      </c>
      <c r="BL12" s="330">
        <f t="shared" si="18"/>
        <v>93</v>
      </c>
      <c r="BM12" s="332">
        <f t="shared" si="19"/>
        <v>16.636851520572453</v>
      </c>
    </row>
    <row r="13" spans="1:65" x14ac:dyDescent="0.25">
      <c r="B13" s="323" t="s">
        <v>116</v>
      </c>
      <c r="C13" s="330">
        <f t="shared" si="3"/>
        <v>862</v>
      </c>
      <c r="D13" s="330">
        <v>403</v>
      </c>
      <c r="E13" s="330">
        <v>314</v>
      </c>
      <c r="F13" s="330">
        <f t="shared" si="4"/>
        <v>717</v>
      </c>
      <c r="G13" s="330">
        <v>7</v>
      </c>
      <c r="H13" s="330">
        <v>19</v>
      </c>
      <c r="I13" s="330">
        <v>27</v>
      </c>
      <c r="J13" s="330">
        <v>3</v>
      </c>
      <c r="K13" s="331">
        <v>89</v>
      </c>
      <c r="L13" s="330">
        <f t="shared" si="5"/>
        <v>145</v>
      </c>
      <c r="M13" s="332">
        <f t="shared" si="6"/>
        <v>16.821345707656615</v>
      </c>
      <c r="O13" s="323" t="s">
        <v>124</v>
      </c>
      <c r="P13" s="330">
        <f t="shared" si="7"/>
        <v>544</v>
      </c>
      <c r="Q13" s="330">
        <v>253</v>
      </c>
      <c r="R13" s="330">
        <v>103</v>
      </c>
      <c r="S13" s="330">
        <f t="shared" si="8"/>
        <v>356</v>
      </c>
      <c r="T13" s="330">
        <v>48</v>
      </c>
      <c r="U13" s="330">
        <v>11</v>
      </c>
      <c r="V13" s="330">
        <v>17</v>
      </c>
      <c r="W13" s="330">
        <v>11</v>
      </c>
      <c r="X13" s="331">
        <v>101</v>
      </c>
      <c r="Y13" s="330">
        <f t="shared" si="9"/>
        <v>188</v>
      </c>
      <c r="Z13" s="332">
        <f t="shared" si="10"/>
        <v>34.558823529411761</v>
      </c>
      <c r="AB13" s="323" t="s">
        <v>134</v>
      </c>
      <c r="AC13" s="330">
        <f t="shared" si="0"/>
        <v>359</v>
      </c>
      <c r="AD13" s="330">
        <v>157</v>
      </c>
      <c r="AE13" s="330">
        <v>101</v>
      </c>
      <c r="AF13" s="330">
        <f t="shared" si="11"/>
        <v>258</v>
      </c>
      <c r="AG13" s="330">
        <v>32</v>
      </c>
      <c r="AH13" s="330">
        <v>5</v>
      </c>
      <c r="AI13" s="330">
        <v>4</v>
      </c>
      <c r="AJ13" s="330">
        <v>1</v>
      </c>
      <c r="AK13" s="331">
        <v>59</v>
      </c>
      <c r="AL13" s="330">
        <f t="shared" si="12"/>
        <v>101</v>
      </c>
      <c r="AM13" s="332">
        <f t="shared" si="1"/>
        <v>28.133704735376046</v>
      </c>
      <c r="AO13" s="323" t="s">
        <v>146</v>
      </c>
      <c r="AP13" s="330">
        <f t="shared" si="13"/>
        <v>651</v>
      </c>
      <c r="AQ13" s="330">
        <v>416</v>
      </c>
      <c r="AR13" s="330">
        <v>122</v>
      </c>
      <c r="AS13" s="330">
        <f t="shared" si="14"/>
        <v>538</v>
      </c>
      <c r="AT13" s="330">
        <v>12</v>
      </c>
      <c r="AU13" s="330">
        <v>4</v>
      </c>
      <c r="AV13" s="330">
        <v>18</v>
      </c>
      <c r="AW13" s="330">
        <v>1</v>
      </c>
      <c r="AX13" s="331">
        <v>78</v>
      </c>
      <c r="AY13" s="330">
        <f t="shared" si="15"/>
        <v>113</v>
      </c>
      <c r="AZ13" s="332">
        <f t="shared" si="16"/>
        <v>17.357910906298002</v>
      </c>
      <c r="BB13" s="323" t="s">
        <v>154</v>
      </c>
      <c r="BC13" s="330">
        <f t="shared" si="2"/>
        <v>494</v>
      </c>
      <c r="BD13" s="330">
        <v>376</v>
      </c>
      <c r="BE13" s="330">
        <v>95</v>
      </c>
      <c r="BF13" s="330">
        <f t="shared" si="17"/>
        <v>471</v>
      </c>
      <c r="BG13" s="330">
        <v>1</v>
      </c>
      <c r="BH13" s="330">
        <v>2</v>
      </c>
      <c r="BI13" s="330">
        <v>2</v>
      </c>
      <c r="BJ13" s="330">
        <v>0</v>
      </c>
      <c r="BK13" s="331">
        <v>18</v>
      </c>
      <c r="BL13" s="330">
        <f t="shared" si="18"/>
        <v>23</v>
      </c>
      <c r="BM13" s="332">
        <f t="shared" si="19"/>
        <v>4.6558704453441289</v>
      </c>
    </row>
    <row r="14" spans="1:65" x14ac:dyDescent="0.25">
      <c r="B14" s="323" t="s">
        <v>110</v>
      </c>
      <c r="C14" s="330">
        <f t="shared" si="3"/>
        <v>848</v>
      </c>
      <c r="D14" s="330">
        <v>403</v>
      </c>
      <c r="E14" s="330">
        <v>316</v>
      </c>
      <c r="F14" s="330">
        <f t="shared" si="4"/>
        <v>719</v>
      </c>
      <c r="G14" s="330">
        <v>31</v>
      </c>
      <c r="H14" s="330">
        <v>15</v>
      </c>
      <c r="I14" s="330">
        <v>11</v>
      </c>
      <c r="J14" s="330">
        <v>10</v>
      </c>
      <c r="K14" s="331">
        <v>62</v>
      </c>
      <c r="L14" s="330">
        <f t="shared" si="5"/>
        <v>129</v>
      </c>
      <c r="M14" s="332">
        <f t="shared" si="6"/>
        <v>15.212264150943396</v>
      </c>
      <c r="O14" s="323"/>
      <c r="P14" s="330"/>
      <c r="Q14" s="330"/>
      <c r="R14" s="330"/>
      <c r="S14" s="330"/>
      <c r="T14" s="330"/>
      <c r="U14" s="330"/>
      <c r="V14" s="330"/>
      <c r="W14" s="330"/>
      <c r="X14" s="331"/>
      <c r="Y14" s="330"/>
      <c r="Z14" s="332"/>
      <c r="AB14" s="323" t="s">
        <v>135</v>
      </c>
      <c r="AC14" s="330">
        <f t="shared" si="0"/>
        <v>353</v>
      </c>
      <c r="AD14" s="330">
        <v>157</v>
      </c>
      <c r="AE14" s="330">
        <v>98</v>
      </c>
      <c r="AF14" s="330">
        <f t="shared" si="11"/>
        <v>255</v>
      </c>
      <c r="AG14" s="330">
        <v>13</v>
      </c>
      <c r="AH14" s="330">
        <v>13</v>
      </c>
      <c r="AI14" s="330">
        <v>25</v>
      </c>
      <c r="AJ14" s="330">
        <v>0</v>
      </c>
      <c r="AK14" s="331">
        <v>47</v>
      </c>
      <c r="AL14" s="330">
        <f t="shared" si="12"/>
        <v>98</v>
      </c>
      <c r="AM14" s="332">
        <f t="shared" si="1"/>
        <v>27.762039660056658</v>
      </c>
      <c r="AO14" s="323" t="s">
        <v>147</v>
      </c>
      <c r="AP14" s="330">
        <f t="shared" si="13"/>
        <v>591</v>
      </c>
      <c r="AQ14" s="330">
        <v>416</v>
      </c>
      <c r="AR14" s="330">
        <v>109</v>
      </c>
      <c r="AS14" s="330">
        <f t="shared" si="14"/>
        <v>525</v>
      </c>
      <c r="AT14" s="330">
        <v>15</v>
      </c>
      <c r="AU14" s="330">
        <v>3</v>
      </c>
      <c r="AV14" s="330">
        <v>8</v>
      </c>
      <c r="AW14" s="330">
        <v>0</v>
      </c>
      <c r="AX14" s="331">
        <v>40</v>
      </c>
      <c r="AY14" s="330">
        <f t="shared" si="15"/>
        <v>66</v>
      </c>
      <c r="AZ14" s="332">
        <f t="shared" si="16"/>
        <v>11.167512690355331</v>
      </c>
      <c r="BB14" s="323" t="s">
        <v>155</v>
      </c>
      <c r="BC14" s="330">
        <f t="shared" si="2"/>
        <v>471</v>
      </c>
      <c r="BD14" s="330">
        <v>376</v>
      </c>
      <c r="BE14" s="330">
        <v>67</v>
      </c>
      <c r="BF14" s="330">
        <f t="shared" si="17"/>
        <v>443</v>
      </c>
      <c r="BG14" s="330">
        <v>7</v>
      </c>
      <c r="BH14" s="330">
        <v>4</v>
      </c>
      <c r="BI14" s="330">
        <v>0</v>
      </c>
      <c r="BJ14" s="330">
        <v>0</v>
      </c>
      <c r="BK14" s="331">
        <v>17</v>
      </c>
      <c r="BL14" s="330">
        <f t="shared" si="18"/>
        <v>28</v>
      </c>
      <c r="BM14" s="332">
        <f t="shared" si="19"/>
        <v>5.9447983014862</v>
      </c>
    </row>
    <row r="15" spans="1:65" x14ac:dyDescent="0.25">
      <c r="B15" s="323" t="s">
        <v>111</v>
      </c>
      <c r="C15" s="330">
        <f t="shared" si="3"/>
        <v>838</v>
      </c>
      <c r="D15" s="330">
        <v>403</v>
      </c>
      <c r="E15" s="330">
        <v>313</v>
      </c>
      <c r="F15" s="330">
        <f t="shared" si="4"/>
        <v>716</v>
      </c>
      <c r="G15" s="330">
        <v>16</v>
      </c>
      <c r="H15" s="330">
        <v>10</v>
      </c>
      <c r="I15" s="330">
        <v>14</v>
      </c>
      <c r="J15" s="330">
        <v>8</v>
      </c>
      <c r="K15" s="331">
        <v>74</v>
      </c>
      <c r="L15" s="330">
        <f t="shared" si="5"/>
        <v>122</v>
      </c>
      <c r="M15" s="332">
        <f t="shared" si="6"/>
        <v>14.558472553699282</v>
      </c>
      <c r="O15" s="326" t="s">
        <v>9</v>
      </c>
      <c r="P15" s="336">
        <f>SUM(P6:P13)</f>
        <v>8378</v>
      </c>
      <c r="Q15" s="336">
        <f>SUM(Q6:Q14)</f>
        <v>3795</v>
      </c>
      <c r="R15" s="336">
        <f t="shared" ref="R15:S15" si="20">SUM(R6:R14)</f>
        <v>1838</v>
      </c>
      <c r="S15" s="336">
        <f t="shared" si="20"/>
        <v>5633</v>
      </c>
      <c r="T15" s="336">
        <f>SUM(T6:T13)</f>
        <v>809</v>
      </c>
      <c r="U15" s="336">
        <f t="shared" ref="U15:Y15" si="21">SUM(U6:U13)</f>
        <v>281</v>
      </c>
      <c r="V15" s="336">
        <f t="shared" si="21"/>
        <v>217</v>
      </c>
      <c r="W15" s="336">
        <f t="shared" si="21"/>
        <v>173</v>
      </c>
      <c r="X15" s="336">
        <f t="shared" si="21"/>
        <v>1265</v>
      </c>
      <c r="Y15" s="336">
        <f t="shared" si="21"/>
        <v>2745</v>
      </c>
      <c r="Z15" s="337">
        <f>Y15/P15%</f>
        <v>32.764382907615179</v>
      </c>
      <c r="AB15" s="323" t="s">
        <v>136</v>
      </c>
      <c r="AC15" s="330">
        <f t="shared" si="0"/>
        <v>332</v>
      </c>
      <c r="AD15" s="330">
        <v>157</v>
      </c>
      <c r="AE15" s="330">
        <v>97</v>
      </c>
      <c r="AF15" s="330">
        <f t="shared" si="11"/>
        <v>254</v>
      </c>
      <c r="AG15" s="330">
        <v>15</v>
      </c>
      <c r="AH15" s="330">
        <v>7</v>
      </c>
      <c r="AI15" s="330">
        <v>20</v>
      </c>
      <c r="AJ15" s="330">
        <v>3</v>
      </c>
      <c r="AK15" s="331">
        <v>33</v>
      </c>
      <c r="AL15" s="330">
        <f t="shared" si="12"/>
        <v>78</v>
      </c>
      <c r="AM15" s="332">
        <f t="shared" si="1"/>
        <v>23.493975903614459</v>
      </c>
      <c r="AO15" s="323"/>
      <c r="AP15" s="330"/>
      <c r="AQ15" s="330"/>
      <c r="AR15" s="330"/>
      <c r="AS15" s="310"/>
      <c r="AT15" s="330"/>
      <c r="AU15" s="330"/>
      <c r="AV15" s="330"/>
      <c r="AW15" s="330"/>
      <c r="AX15" s="331"/>
      <c r="AY15" s="330"/>
      <c r="AZ15" s="331"/>
      <c r="BB15" s="323" t="s">
        <v>156</v>
      </c>
      <c r="BC15" s="330">
        <f t="shared" si="2"/>
        <v>465</v>
      </c>
      <c r="BD15" s="330">
        <v>376</v>
      </c>
      <c r="BE15" s="330">
        <v>70</v>
      </c>
      <c r="BF15" s="330">
        <f t="shared" si="17"/>
        <v>446</v>
      </c>
      <c r="BG15" s="330">
        <v>1</v>
      </c>
      <c r="BH15" s="330">
        <v>0</v>
      </c>
      <c r="BI15" s="330">
        <v>0</v>
      </c>
      <c r="BJ15" s="330">
        <v>1</v>
      </c>
      <c r="BK15" s="331">
        <v>17</v>
      </c>
      <c r="BL15" s="330">
        <f t="shared" si="18"/>
        <v>19</v>
      </c>
      <c r="BM15" s="332">
        <f t="shared" si="19"/>
        <v>4.086021505376344</v>
      </c>
    </row>
    <row r="16" spans="1:65" x14ac:dyDescent="0.25">
      <c r="B16" s="323" t="s">
        <v>112</v>
      </c>
      <c r="C16" s="330">
        <f t="shared" si="3"/>
        <v>833</v>
      </c>
      <c r="D16" s="330">
        <v>403</v>
      </c>
      <c r="E16" s="330">
        <v>304</v>
      </c>
      <c r="F16" s="330">
        <f t="shared" si="4"/>
        <v>707</v>
      </c>
      <c r="G16" s="330">
        <v>8</v>
      </c>
      <c r="H16" s="330">
        <v>21</v>
      </c>
      <c r="I16" s="330">
        <v>11</v>
      </c>
      <c r="J16" s="330">
        <v>9</v>
      </c>
      <c r="K16" s="331">
        <v>77</v>
      </c>
      <c r="L16" s="330">
        <f t="shared" si="5"/>
        <v>126</v>
      </c>
      <c r="M16" s="332">
        <f t="shared" si="6"/>
        <v>15.126050420168067</v>
      </c>
      <c r="AB16" s="323" t="s">
        <v>137</v>
      </c>
      <c r="AC16" s="330">
        <f t="shared" si="0"/>
        <v>329</v>
      </c>
      <c r="AD16" s="330">
        <v>157</v>
      </c>
      <c r="AE16" s="330">
        <v>91</v>
      </c>
      <c r="AF16" s="330">
        <f t="shared" si="11"/>
        <v>248</v>
      </c>
      <c r="AG16" s="330">
        <v>16</v>
      </c>
      <c r="AH16" s="330">
        <v>10</v>
      </c>
      <c r="AI16" s="330">
        <v>8</v>
      </c>
      <c r="AJ16" s="330">
        <v>0</v>
      </c>
      <c r="AK16" s="331">
        <v>47</v>
      </c>
      <c r="AL16" s="330">
        <f t="shared" si="12"/>
        <v>81</v>
      </c>
      <c r="AM16" s="332">
        <f t="shared" si="1"/>
        <v>24.620060790273556</v>
      </c>
      <c r="AO16" s="326" t="s">
        <v>9</v>
      </c>
      <c r="AP16" s="336">
        <f>SUM(AP6:AP14)</f>
        <v>10131</v>
      </c>
      <c r="AQ16" s="336">
        <f>SUM(AQ6:AQ15)</f>
        <v>6240</v>
      </c>
      <c r="AR16" s="336">
        <f t="shared" ref="AR16:AS16" si="22">SUM(AR6:AR15)</f>
        <v>2171</v>
      </c>
      <c r="AS16" s="336">
        <f t="shared" si="22"/>
        <v>8411</v>
      </c>
      <c r="AT16" s="336">
        <f t="shared" ref="AT16:AY16" si="23">SUM(AT6:AT15)</f>
        <v>380</v>
      </c>
      <c r="AU16" s="336">
        <f t="shared" si="23"/>
        <v>66</v>
      </c>
      <c r="AV16" s="336">
        <f t="shared" si="23"/>
        <v>334</v>
      </c>
      <c r="AW16" s="336">
        <f t="shared" si="23"/>
        <v>19</v>
      </c>
      <c r="AX16" s="336">
        <f t="shared" si="23"/>
        <v>921</v>
      </c>
      <c r="AY16" s="336">
        <f t="shared" si="23"/>
        <v>1720</v>
      </c>
      <c r="AZ16" s="337">
        <f>AY16/AP16%</f>
        <v>16.977593524824794</v>
      </c>
      <c r="BB16" s="323"/>
      <c r="BC16" s="330"/>
      <c r="BD16" s="330"/>
      <c r="BE16" s="330"/>
      <c r="BF16" s="310"/>
      <c r="BG16" s="330"/>
      <c r="BH16" s="330"/>
      <c r="BI16" s="330"/>
      <c r="BJ16" s="330"/>
      <c r="BK16" s="331"/>
      <c r="BL16" s="330"/>
      <c r="BM16" s="331"/>
    </row>
    <row r="17" spans="1:65" x14ac:dyDescent="0.25">
      <c r="B17" s="323" t="s">
        <v>113</v>
      </c>
      <c r="C17" s="330">
        <f t="shared" si="3"/>
        <v>805</v>
      </c>
      <c r="D17" s="330">
        <v>403</v>
      </c>
      <c r="E17" s="330">
        <v>223</v>
      </c>
      <c r="F17" s="330">
        <f t="shared" si="4"/>
        <v>626</v>
      </c>
      <c r="G17" s="330">
        <v>16</v>
      </c>
      <c r="H17" s="330">
        <v>48</v>
      </c>
      <c r="I17" s="330">
        <v>26</v>
      </c>
      <c r="J17" s="330">
        <v>6</v>
      </c>
      <c r="K17" s="331">
        <v>83</v>
      </c>
      <c r="L17" s="330">
        <f t="shared" si="5"/>
        <v>179</v>
      </c>
      <c r="M17" s="332">
        <f t="shared" si="6"/>
        <v>22.236024844720497</v>
      </c>
      <c r="AB17" s="323" t="s">
        <v>138</v>
      </c>
      <c r="AC17" s="330">
        <f t="shared" si="0"/>
        <v>271</v>
      </c>
      <c r="AD17" s="330">
        <v>157</v>
      </c>
      <c r="AE17" s="330">
        <v>70</v>
      </c>
      <c r="AF17" s="330">
        <f t="shared" si="11"/>
        <v>227</v>
      </c>
      <c r="AG17" s="330">
        <v>10</v>
      </c>
      <c r="AH17" s="330">
        <v>4</v>
      </c>
      <c r="AI17" s="330">
        <v>9</v>
      </c>
      <c r="AJ17" s="330">
        <v>1</v>
      </c>
      <c r="AK17" s="331">
        <v>20</v>
      </c>
      <c r="AL17" s="330">
        <f t="shared" si="12"/>
        <v>44</v>
      </c>
      <c r="AM17" s="332">
        <f t="shared" si="1"/>
        <v>16.236162361623617</v>
      </c>
      <c r="BB17" s="326" t="s">
        <v>9</v>
      </c>
      <c r="BC17" s="336">
        <f>SUM(BC6:BC15)</f>
        <v>8169</v>
      </c>
      <c r="BD17" s="336">
        <f>SUM(BD6:BD16)</f>
        <v>5640</v>
      </c>
      <c r="BE17" s="336">
        <f t="shared" ref="BE17:BF17" si="24">SUM(BE6:BE16)</f>
        <v>1368</v>
      </c>
      <c r="BF17" s="336">
        <f t="shared" si="24"/>
        <v>7008</v>
      </c>
      <c r="BG17" s="336">
        <f t="shared" ref="BG17:BL17" si="25">SUM(BG6:BG16)</f>
        <v>280</v>
      </c>
      <c r="BH17" s="336">
        <f t="shared" si="25"/>
        <v>159</v>
      </c>
      <c r="BI17" s="336">
        <f t="shared" si="25"/>
        <v>45</v>
      </c>
      <c r="BJ17" s="336">
        <f t="shared" si="25"/>
        <v>24</v>
      </c>
      <c r="BK17" s="336">
        <f t="shared" si="25"/>
        <v>653</v>
      </c>
      <c r="BL17" s="336">
        <f t="shared" si="25"/>
        <v>1161</v>
      </c>
      <c r="BM17" s="337">
        <f>BL17/BC17%</f>
        <v>14.212265883217041</v>
      </c>
    </row>
    <row r="18" spans="1:65" x14ac:dyDescent="0.25">
      <c r="B18" s="323" t="s">
        <v>114</v>
      </c>
      <c r="C18" s="330">
        <f t="shared" si="3"/>
        <v>737</v>
      </c>
      <c r="D18" s="330">
        <v>403</v>
      </c>
      <c r="E18" s="330">
        <v>234</v>
      </c>
      <c r="F18" s="330">
        <f t="shared" si="4"/>
        <v>637</v>
      </c>
      <c r="G18" s="330">
        <v>10</v>
      </c>
      <c r="H18" s="330">
        <v>18</v>
      </c>
      <c r="I18" s="330">
        <v>14</v>
      </c>
      <c r="J18" s="330">
        <v>3</v>
      </c>
      <c r="K18" s="331">
        <v>55</v>
      </c>
      <c r="L18" s="330">
        <f t="shared" si="5"/>
        <v>100</v>
      </c>
      <c r="M18" s="332">
        <f t="shared" si="6"/>
        <v>13.568521031207599</v>
      </c>
      <c r="AB18" s="323"/>
      <c r="AC18" s="330"/>
      <c r="AD18" s="330"/>
      <c r="AE18" s="330"/>
      <c r="AF18" s="310"/>
      <c r="AG18" s="330"/>
      <c r="AH18" s="330"/>
      <c r="AI18" s="330"/>
      <c r="AJ18" s="330"/>
      <c r="AK18" s="331"/>
      <c r="AL18" s="330"/>
      <c r="AM18" s="331"/>
    </row>
    <row r="19" spans="1:65" x14ac:dyDescent="0.25">
      <c r="B19" s="323" t="s">
        <v>115</v>
      </c>
      <c r="C19" s="330">
        <f t="shared" si="3"/>
        <v>659</v>
      </c>
      <c r="D19" s="330">
        <v>403</v>
      </c>
      <c r="E19" s="330">
        <v>210</v>
      </c>
      <c r="F19" s="330">
        <f t="shared" si="4"/>
        <v>613</v>
      </c>
      <c r="G19" s="330">
        <v>7</v>
      </c>
      <c r="H19" s="330">
        <v>2</v>
      </c>
      <c r="I19" s="330">
        <v>7</v>
      </c>
      <c r="J19" s="330">
        <v>3</v>
      </c>
      <c r="K19" s="331">
        <v>27</v>
      </c>
      <c r="L19" s="330">
        <f t="shared" si="5"/>
        <v>46</v>
      </c>
      <c r="M19" s="332">
        <f>L19/C19%</f>
        <v>6.9802731411229137</v>
      </c>
      <c r="AB19" s="326" t="s">
        <v>9</v>
      </c>
      <c r="AC19" s="336">
        <f>SUM(AC6:AC17)</f>
        <v>5988</v>
      </c>
      <c r="AD19" s="336">
        <f>SUM(AD6:AD18)</f>
        <v>2355</v>
      </c>
      <c r="AE19" s="336">
        <f t="shared" ref="AE19:AF19" si="26">SUM(AE6:AE18)</f>
        <v>1621</v>
      </c>
      <c r="AF19" s="336">
        <f t="shared" si="26"/>
        <v>3976</v>
      </c>
      <c r="AG19" s="336">
        <f t="shared" ref="AG19:AL19" si="27">SUM(AG6:AG18)</f>
        <v>442</v>
      </c>
      <c r="AH19" s="336">
        <f t="shared" si="27"/>
        <v>190</v>
      </c>
      <c r="AI19" s="336">
        <f t="shared" si="27"/>
        <v>402</v>
      </c>
      <c r="AJ19" s="336">
        <f t="shared" si="27"/>
        <v>45</v>
      </c>
      <c r="AK19" s="336">
        <f t="shared" si="27"/>
        <v>933</v>
      </c>
      <c r="AL19" s="336">
        <f t="shared" si="27"/>
        <v>2012</v>
      </c>
      <c r="AM19" s="337">
        <f>AL19/AC19%</f>
        <v>33.600534402137605</v>
      </c>
    </row>
    <row r="20" spans="1:65" x14ac:dyDescent="0.25">
      <c r="B20" s="323"/>
      <c r="C20" s="330"/>
      <c r="D20" s="330"/>
      <c r="E20" s="330"/>
      <c r="F20" s="310"/>
      <c r="G20" s="330"/>
      <c r="H20" s="330"/>
      <c r="I20" s="330"/>
      <c r="J20" s="330"/>
      <c r="K20" s="331"/>
      <c r="L20" s="330"/>
      <c r="M20" s="331"/>
    </row>
    <row r="21" spans="1:65" x14ac:dyDescent="0.25">
      <c r="B21" s="326" t="s">
        <v>9</v>
      </c>
      <c r="C21" s="336">
        <f>SUM(C6:C19)</f>
        <v>15545</v>
      </c>
      <c r="D21" s="336">
        <f t="shared" ref="D21:F21" si="28">SUM(D6:D19)</f>
        <v>6045</v>
      </c>
      <c r="E21" s="336">
        <f t="shared" si="28"/>
        <v>5579</v>
      </c>
      <c r="F21" s="336">
        <f t="shared" si="28"/>
        <v>11624</v>
      </c>
      <c r="G21" s="336">
        <f>SUM(G6:G20)</f>
        <v>564</v>
      </c>
      <c r="H21" s="336">
        <f t="shared" ref="H21:L21" si="29">SUM(H6:H20)</f>
        <v>494</v>
      </c>
      <c r="I21" s="336">
        <f t="shared" si="29"/>
        <v>504</v>
      </c>
      <c r="J21" s="336">
        <f t="shared" si="29"/>
        <v>246</v>
      </c>
      <c r="K21" s="336">
        <f t="shared" si="29"/>
        <v>2113</v>
      </c>
      <c r="L21" s="336">
        <f t="shared" si="29"/>
        <v>3921</v>
      </c>
      <c r="M21" s="337">
        <f>L21/C21%</f>
        <v>25.223544548086203</v>
      </c>
    </row>
    <row r="24" spans="1:65" ht="33.75" customHeight="1" x14ac:dyDescent="0.25">
      <c r="A24" s="328" t="s">
        <v>159</v>
      </c>
      <c r="B24" s="420" t="s">
        <v>100</v>
      </c>
      <c r="C24" s="422" t="s">
        <v>101</v>
      </c>
      <c r="D24" s="424" t="s">
        <v>236</v>
      </c>
      <c r="E24" s="426"/>
      <c r="F24" s="425"/>
      <c r="G24" s="424" t="s">
        <v>240</v>
      </c>
      <c r="H24" s="426"/>
      <c r="I24" s="426"/>
      <c r="J24" s="426"/>
      <c r="K24" s="425"/>
      <c r="L24" s="427" t="s">
        <v>239</v>
      </c>
      <c r="M24" s="428"/>
      <c r="N24" s="339" t="s">
        <v>19</v>
      </c>
      <c r="O24" s="420" t="s">
        <v>100</v>
      </c>
      <c r="P24" s="422" t="s">
        <v>101</v>
      </c>
      <c r="Q24" s="424" t="s">
        <v>236</v>
      </c>
      <c r="R24" s="426"/>
      <c r="S24" s="425"/>
      <c r="T24" s="424" t="s">
        <v>240</v>
      </c>
      <c r="U24" s="426"/>
      <c r="V24" s="426"/>
      <c r="W24" s="426"/>
      <c r="X24" s="425"/>
      <c r="Y24" s="427" t="s">
        <v>239</v>
      </c>
      <c r="Z24" s="428"/>
      <c r="AA24" s="339" t="s">
        <v>90</v>
      </c>
      <c r="AB24" s="420" t="s">
        <v>100</v>
      </c>
      <c r="AC24" s="422" t="s">
        <v>101</v>
      </c>
      <c r="AD24" s="424" t="s">
        <v>236</v>
      </c>
      <c r="AE24" s="426"/>
      <c r="AF24" s="425"/>
      <c r="AG24" s="424" t="s">
        <v>240</v>
      </c>
      <c r="AH24" s="426"/>
      <c r="AI24" s="426"/>
      <c r="AJ24" s="426"/>
      <c r="AK24" s="425"/>
      <c r="AL24" s="427" t="s">
        <v>239</v>
      </c>
      <c r="AM24" s="428"/>
      <c r="AN24" s="339" t="s">
        <v>49</v>
      </c>
      <c r="AO24" s="420" t="s">
        <v>100</v>
      </c>
      <c r="AP24" s="422" t="s">
        <v>101</v>
      </c>
      <c r="AQ24" s="424" t="s">
        <v>236</v>
      </c>
      <c r="AR24" s="426"/>
      <c r="AS24" s="425"/>
      <c r="AT24" s="424" t="s">
        <v>240</v>
      </c>
      <c r="AU24" s="426"/>
      <c r="AV24" s="426"/>
      <c r="AW24" s="426"/>
      <c r="AX24" s="425"/>
      <c r="AY24" s="427" t="s">
        <v>239</v>
      </c>
      <c r="AZ24" s="428"/>
      <c r="BA24" s="339" t="s">
        <v>21</v>
      </c>
      <c r="BB24" s="420" t="s">
        <v>100</v>
      </c>
      <c r="BC24" s="422" t="s">
        <v>101</v>
      </c>
      <c r="BD24" s="424" t="s">
        <v>236</v>
      </c>
      <c r="BE24" s="426"/>
      <c r="BF24" s="425"/>
      <c r="BG24" s="424" t="s">
        <v>240</v>
      </c>
      <c r="BH24" s="426"/>
      <c r="BI24" s="426"/>
      <c r="BJ24" s="426"/>
      <c r="BK24" s="425"/>
      <c r="BL24" s="427" t="s">
        <v>239</v>
      </c>
      <c r="BM24" s="428"/>
    </row>
    <row r="25" spans="1:65" x14ac:dyDescent="0.25">
      <c r="B25" s="421"/>
      <c r="C25" s="423"/>
      <c r="D25" s="327" t="s">
        <v>237</v>
      </c>
      <c r="E25" s="327" t="s">
        <v>238</v>
      </c>
      <c r="F25" s="327" t="s">
        <v>9</v>
      </c>
      <c r="G25" s="327" t="s">
        <v>19</v>
      </c>
      <c r="H25" s="327" t="s">
        <v>90</v>
      </c>
      <c r="I25" s="327" t="s">
        <v>49</v>
      </c>
      <c r="J25" s="327" t="s">
        <v>21</v>
      </c>
      <c r="K25" s="321" t="s">
        <v>102</v>
      </c>
      <c r="L25" s="322" t="s">
        <v>46</v>
      </c>
      <c r="M25" s="321" t="s">
        <v>22</v>
      </c>
      <c r="O25" s="421"/>
      <c r="P25" s="423"/>
      <c r="Q25" s="327" t="s">
        <v>237</v>
      </c>
      <c r="R25" s="327" t="s">
        <v>238</v>
      </c>
      <c r="S25" s="327" t="s">
        <v>9</v>
      </c>
      <c r="T25" s="327" t="s">
        <v>18</v>
      </c>
      <c r="U25" s="327" t="s">
        <v>90</v>
      </c>
      <c r="V25" s="327" t="s">
        <v>49</v>
      </c>
      <c r="W25" s="327" t="s">
        <v>21</v>
      </c>
      <c r="X25" s="321" t="s">
        <v>102</v>
      </c>
      <c r="Y25" s="322" t="s">
        <v>46</v>
      </c>
      <c r="Z25" s="321" t="s">
        <v>22</v>
      </c>
      <c r="AB25" s="421"/>
      <c r="AC25" s="423"/>
      <c r="AD25" s="327" t="s">
        <v>237</v>
      </c>
      <c r="AE25" s="327" t="s">
        <v>238</v>
      </c>
      <c r="AF25" s="327" t="s">
        <v>9</v>
      </c>
      <c r="AG25" s="327" t="s">
        <v>18</v>
      </c>
      <c r="AH25" s="327" t="s">
        <v>19</v>
      </c>
      <c r="AI25" s="327" t="s">
        <v>49</v>
      </c>
      <c r="AJ25" s="327" t="s">
        <v>21</v>
      </c>
      <c r="AK25" s="321" t="s">
        <v>102</v>
      </c>
      <c r="AL25" s="322" t="s">
        <v>9</v>
      </c>
      <c r="AM25" s="321" t="s">
        <v>22</v>
      </c>
      <c r="AO25" s="421"/>
      <c r="AP25" s="423"/>
      <c r="AQ25" s="327" t="s">
        <v>237</v>
      </c>
      <c r="AR25" s="327" t="s">
        <v>238</v>
      </c>
      <c r="AS25" s="327" t="s">
        <v>9</v>
      </c>
      <c r="AT25" s="327" t="s">
        <v>18</v>
      </c>
      <c r="AU25" s="327" t="s">
        <v>19</v>
      </c>
      <c r="AV25" s="327" t="s">
        <v>90</v>
      </c>
      <c r="AW25" s="327" t="s">
        <v>21</v>
      </c>
      <c r="AX25" s="321" t="s">
        <v>102</v>
      </c>
      <c r="AY25" s="322" t="s">
        <v>9</v>
      </c>
      <c r="AZ25" s="321" t="s">
        <v>22</v>
      </c>
      <c r="BB25" s="421"/>
      <c r="BC25" s="423"/>
      <c r="BD25" s="327" t="s">
        <v>237</v>
      </c>
      <c r="BE25" s="327" t="s">
        <v>238</v>
      </c>
      <c r="BF25" s="327" t="s">
        <v>9</v>
      </c>
      <c r="BG25" s="327" t="s">
        <v>18</v>
      </c>
      <c r="BH25" s="327" t="s">
        <v>19</v>
      </c>
      <c r="BI25" s="327" t="s">
        <v>90</v>
      </c>
      <c r="BJ25" s="327" t="s">
        <v>49</v>
      </c>
      <c r="BK25" s="321" t="s">
        <v>102</v>
      </c>
      <c r="BL25" s="322" t="s">
        <v>9</v>
      </c>
      <c r="BM25" s="321" t="s">
        <v>22</v>
      </c>
    </row>
    <row r="26" spans="1:65" x14ac:dyDescent="0.25">
      <c r="B26" s="323"/>
      <c r="C26" s="323"/>
      <c r="D26" s="323"/>
      <c r="E26" s="323"/>
      <c r="F26" s="323"/>
      <c r="G26" s="323"/>
      <c r="H26" s="323"/>
      <c r="I26" s="323"/>
      <c r="J26" s="323"/>
      <c r="K26" s="324"/>
      <c r="L26" s="323"/>
      <c r="M26" s="324"/>
      <c r="O26" s="323"/>
      <c r="P26" s="323"/>
      <c r="Q26" s="323"/>
      <c r="R26" s="323"/>
      <c r="S26" s="323"/>
      <c r="T26" s="323"/>
      <c r="U26" s="323"/>
      <c r="V26" s="323"/>
      <c r="W26" s="323"/>
      <c r="X26" s="324"/>
      <c r="Y26" s="323"/>
      <c r="Z26" s="324"/>
      <c r="AB26" s="323"/>
      <c r="AC26" s="323"/>
      <c r="AD26" s="323"/>
      <c r="AE26" s="323"/>
      <c r="AF26" s="323"/>
      <c r="AG26" s="323"/>
      <c r="AH26" s="323"/>
      <c r="AI26" s="323"/>
      <c r="AJ26" s="323"/>
      <c r="AK26" s="324"/>
      <c r="AL26" s="323"/>
      <c r="AM26" s="324"/>
      <c r="AO26" s="323"/>
      <c r="AP26" s="323"/>
      <c r="AQ26" s="323"/>
      <c r="AR26" s="323"/>
      <c r="AS26" s="323"/>
      <c r="AT26" s="323"/>
      <c r="AU26" s="323"/>
      <c r="AV26" s="323"/>
      <c r="AW26" s="323"/>
      <c r="AX26" s="324"/>
      <c r="AY26" s="323"/>
      <c r="AZ26" s="324"/>
      <c r="BB26" s="323"/>
      <c r="BC26" s="323"/>
      <c r="BD26" s="323"/>
      <c r="BE26" s="323"/>
      <c r="BF26" s="323"/>
      <c r="BG26" s="323"/>
      <c r="BH26" s="323"/>
      <c r="BI26" s="323"/>
      <c r="BJ26" s="323"/>
      <c r="BK26" s="324"/>
      <c r="BL26" s="323"/>
      <c r="BM26" s="324"/>
    </row>
    <row r="27" spans="1:65" x14ac:dyDescent="0.25">
      <c r="B27" s="323" t="s">
        <v>158</v>
      </c>
      <c r="C27" s="330">
        <f t="shared" ref="C27:C33" si="30">F27+L27</f>
        <v>690</v>
      </c>
      <c r="D27" s="330">
        <v>134</v>
      </c>
      <c r="E27" s="330">
        <v>210</v>
      </c>
      <c r="F27" s="330">
        <f>SUM(D27:E27)</f>
        <v>344</v>
      </c>
      <c r="G27" s="330">
        <v>29</v>
      </c>
      <c r="H27" s="330">
        <v>24</v>
      </c>
      <c r="I27" s="330">
        <v>18</v>
      </c>
      <c r="J27" s="330">
        <v>66</v>
      </c>
      <c r="K27" s="331">
        <v>209</v>
      </c>
      <c r="L27" s="330">
        <f>SUM(G27:K27)</f>
        <v>346</v>
      </c>
      <c r="M27" s="332">
        <f>L27/C27%</f>
        <v>50.144927536231883</v>
      </c>
      <c r="O27" s="325" t="s">
        <v>166</v>
      </c>
      <c r="P27" s="333">
        <f t="shared" ref="P27:P31" si="31">S27+Y27</f>
        <v>548</v>
      </c>
      <c r="Q27" s="333">
        <v>138</v>
      </c>
      <c r="R27" s="333">
        <v>100</v>
      </c>
      <c r="S27" s="333">
        <f>SUM(Q27:R27)</f>
        <v>238</v>
      </c>
      <c r="T27" s="333">
        <v>70</v>
      </c>
      <c r="U27" s="333">
        <v>25</v>
      </c>
      <c r="V27" s="333">
        <v>19</v>
      </c>
      <c r="W27" s="333">
        <v>27</v>
      </c>
      <c r="X27" s="340">
        <v>169</v>
      </c>
      <c r="Y27" s="333">
        <f>SUM(T27:X27)</f>
        <v>310</v>
      </c>
      <c r="Z27" s="346">
        <f>Y27/P27%</f>
        <v>56.569343065693424</v>
      </c>
      <c r="AB27" s="325" t="s">
        <v>171</v>
      </c>
      <c r="AC27" s="333">
        <f t="shared" ref="AC27:AC33" si="32">AF27+AL27</f>
        <v>417</v>
      </c>
      <c r="AD27" s="333">
        <v>44</v>
      </c>
      <c r="AE27" s="333">
        <v>99</v>
      </c>
      <c r="AF27" s="333">
        <f>SUM(AD27:AE27)</f>
        <v>143</v>
      </c>
      <c r="AG27" s="333">
        <v>74</v>
      </c>
      <c r="AH27" s="333">
        <v>19</v>
      </c>
      <c r="AI27" s="333">
        <v>45</v>
      </c>
      <c r="AJ27" s="333">
        <v>10</v>
      </c>
      <c r="AK27" s="340">
        <v>126</v>
      </c>
      <c r="AL27" s="333">
        <f>SUM(AG27:AK27)</f>
        <v>274</v>
      </c>
      <c r="AM27" s="346">
        <f t="shared" ref="AM27:AM33" si="33">AL27/AC27%</f>
        <v>65.70743405275779</v>
      </c>
      <c r="AO27" s="342" t="s">
        <v>178</v>
      </c>
      <c r="AP27" s="333">
        <f t="shared" ref="AP27:AP30" si="34">AS27+AY27</f>
        <v>474</v>
      </c>
      <c r="AQ27" s="333">
        <v>236</v>
      </c>
      <c r="AR27" s="333">
        <v>96</v>
      </c>
      <c r="AS27" s="333">
        <f>SUM(AQ27:AR27)</f>
        <v>332</v>
      </c>
      <c r="AT27" s="333">
        <v>30</v>
      </c>
      <c r="AU27" s="333">
        <v>4</v>
      </c>
      <c r="AV27" s="333">
        <v>28</v>
      </c>
      <c r="AW27" s="333">
        <v>1</v>
      </c>
      <c r="AX27" s="340">
        <v>79</v>
      </c>
      <c r="AY27" s="333">
        <f>SUM(AT27:AX27)</f>
        <v>142</v>
      </c>
      <c r="AZ27" s="346">
        <f>AY27/AP27%</f>
        <v>29.957805907172993</v>
      </c>
      <c r="BB27" s="341" t="s">
        <v>182</v>
      </c>
      <c r="BC27" s="330">
        <f t="shared" ref="BC27:BC30" si="35">BF27+BL27</f>
        <v>1047</v>
      </c>
      <c r="BD27" s="330">
        <v>636</v>
      </c>
      <c r="BE27" s="330">
        <v>195</v>
      </c>
      <c r="BF27" s="330">
        <f>SUM(BD27:BE27)</f>
        <v>831</v>
      </c>
      <c r="BG27" s="330">
        <v>34</v>
      </c>
      <c r="BH27" s="330">
        <v>14</v>
      </c>
      <c r="BI27" s="330">
        <v>8</v>
      </c>
      <c r="BJ27" s="330">
        <v>4</v>
      </c>
      <c r="BK27" s="331">
        <v>156</v>
      </c>
      <c r="BL27" s="330">
        <f>SUM(BG27:BK27)</f>
        <v>216</v>
      </c>
      <c r="BM27" s="332">
        <f>BL27/BC27%</f>
        <v>20.630372492836674</v>
      </c>
    </row>
    <row r="28" spans="1:65" x14ac:dyDescent="0.25">
      <c r="B28" s="325" t="s">
        <v>160</v>
      </c>
      <c r="C28" s="333">
        <f t="shared" si="30"/>
        <v>523</v>
      </c>
      <c r="D28" s="333">
        <v>134</v>
      </c>
      <c r="E28" s="333">
        <v>175</v>
      </c>
      <c r="F28" s="333">
        <f t="shared" ref="F28:F33" si="36">SUM(D28:E28)</f>
        <v>309</v>
      </c>
      <c r="G28" s="333">
        <v>11</v>
      </c>
      <c r="H28" s="333">
        <v>11</v>
      </c>
      <c r="I28" s="333">
        <v>21</v>
      </c>
      <c r="J28" s="333">
        <v>26</v>
      </c>
      <c r="K28" s="340">
        <v>145</v>
      </c>
      <c r="L28" s="333">
        <f t="shared" ref="L28:L33" si="37">SUM(G28:K28)</f>
        <v>214</v>
      </c>
      <c r="M28" s="346">
        <f t="shared" ref="M28:M33" si="38">L28/C28%</f>
        <v>40.917782026768641</v>
      </c>
      <c r="O28" s="323" t="s">
        <v>167</v>
      </c>
      <c r="P28" s="330">
        <f t="shared" si="31"/>
        <v>299</v>
      </c>
      <c r="Q28" s="330">
        <v>138</v>
      </c>
      <c r="R28" s="330">
        <v>71</v>
      </c>
      <c r="S28" s="330">
        <f t="shared" ref="S28:S31" si="39">SUM(Q28:R28)</f>
        <v>209</v>
      </c>
      <c r="T28" s="330">
        <v>20</v>
      </c>
      <c r="U28" s="330">
        <v>9</v>
      </c>
      <c r="V28" s="330">
        <v>1</v>
      </c>
      <c r="W28" s="330">
        <v>5</v>
      </c>
      <c r="X28" s="331">
        <v>55</v>
      </c>
      <c r="Y28" s="330">
        <f t="shared" ref="Y28:Y31" si="40">SUM(T28:X28)</f>
        <v>90</v>
      </c>
      <c r="Z28" s="332">
        <f t="shared" ref="Z28:Z31" si="41">Y28/P28%</f>
        <v>30.100334448160535</v>
      </c>
      <c r="AB28" s="323" t="s">
        <v>172</v>
      </c>
      <c r="AC28" s="330">
        <f t="shared" si="32"/>
        <v>153</v>
      </c>
      <c r="AD28" s="330">
        <v>44</v>
      </c>
      <c r="AE28" s="330">
        <v>46</v>
      </c>
      <c r="AF28" s="330">
        <f>SUM(AD28:AE28)</f>
        <v>90</v>
      </c>
      <c r="AG28" s="330">
        <v>9</v>
      </c>
      <c r="AH28" s="330">
        <v>4</v>
      </c>
      <c r="AI28" s="330">
        <v>18</v>
      </c>
      <c r="AJ28" s="330">
        <v>1</v>
      </c>
      <c r="AK28" s="331">
        <v>31</v>
      </c>
      <c r="AL28" s="330">
        <f t="shared" ref="AL28:AL33" si="42">SUM(AG28:AK28)</f>
        <v>63</v>
      </c>
      <c r="AM28" s="332">
        <f t="shared" si="33"/>
        <v>41.17647058823529</v>
      </c>
      <c r="AO28" s="323" t="s">
        <v>179</v>
      </c>
      <c r="AP28" s="330">
        <f t="shared" si="34"/>
        <v>351</v>
      </c>
      <c r="AQ28" s="330">
        <v>236</v>
      </c>
      <c r="AR28" s="330">
        <v>73</v>
      </c>
      <c r="AS28" s="330">
        <f>SUM(AQ28:AR28)</f>
        <v>309</v>
      </c>
      <c r="AT28" s="330">
        <v>6</v>
      </c>
      <c r="AU28" s="330">
        <v>4</v>
      </c>
      <c r="AV28" s="330">
        <v>3</v>
      </c>
      <c r="AW28" s="330">
        <v>0</v>
      </c>
      <c r="AX28" s="331">
        <v>29</v>
      </c>
      <c r="AY28" s="330">
        <f t="shared" ref="AY28:AY30" si="43">SUM(AT28:AX28)</f>
        <v>42</v>
      </c>
      <c r="AZ28" s="332">
        <f>AY28/AP28%</f>
        <v>11.965811965811966</v>
      </c>
      <c r="BB28" s="325" t="s">
        <v>183</v>
      </c>
      <c r="BC28" s="333">
        <f t="shared" si="35"/>
        <v>1044</v>
      </c>
      <c r="BD28" s="333">
        <v>636</v>
      </c>
      <c r="BE28" s="333">
        <v>230</v>
      </c>
      <c r="BF28" s="333">
        <f t="shared" ref="BF28:BF30" si="44">SUM(BD28:BE28)</f>
        <v>866</v>
      </c>
      <c r="BG28" s="333">
        <v>23</v>
      </c>
      <c r="BH28" s="333">
        <v>8</v>
      </c>
      <c r="BI28" s="333">
        <v>1</v>
      </c>
      <c r="BJ28" s="333">
        <v>1</v>
      </c>
      <c r="BK28" s="340">
        <v>145</v>
      </c>
      <c r="BL28" s="333">
        <f t="shared" ref="BL28:BL30" si="45">SUM(BG28:BK28)</f>
        <v>178</v>
      </c>
      <c r="BM28" s="346">
        <f t="shared" ref="BM28:BM30" si="46">BL28/BC28%</f>
        <v>17.049808429118773</v>
      </c>
    </row>
    <row r="29" spans="1:65" x14ac:dyDescent="0.25">
      <c r="B29" s="323" t="s">
        <v>161</v>
      </c>
      <c r="C29" s="330">
        <f t="shared" si="30"/>
        <v>400</v>
      </c>
      <c r="D29" s="330">
        <v>134</v>
      </c>
      <c r="E29" s="330">
        <v>123</v>
      </c>
      <c r="F29" s="330">
        <f t="shared" si="36"/>
        <v>257</v>
      </c>
      <c r="G29" s="330">
        <v>29</v>
      </c>
      <c r="H29" s="330">
        <v>6</v>
      </c>
      <c r="I29" s="330">
        <v>8</v>
      </c>
      <c r="J29" s="330">
        <v>23</v>
      </c>
      <c r="K29" s="330">
        <v>77</v>
      </c>
      <c r="L29" s="330">
        <f t="shared" si="37"/>
        <v>143</v>
      </c>
      <c r="M29" s="347">
        <f t="shared" si="38"/>
        <v>35.75</v>
      </c>
      <c r="O29" s="323" t="s">
        <v>168</v>
      </c>
      <c r="P29" s="330">
        <f t="shared" si="31"/>
        <v>289</v>
      </c>
      <c r="Q29" s="330">
        <v>69</v>
      </c>
      <c r="R29" s="354">
        <v>71</v>
      </c>
      <c r="S29" s="330">
        <f t="shared" si="39"/>
        <v>140</v>
      </c>
      <c r="T29" s="331">
        <v>19</v>
      </c>
      <c r="U29" s="330">
        <v>4</v>
      </c>
      <c r="V29" s="330">
        <v>1</v>
      </c>
      <c r="W29" s="330">
        <v>34</v>
      </c>
      <c r="X29" s="330">
        <v>91</v>
      </c>
      <c r="Y29" s="330">
        <f t="shared" si="40"/>
        <v>149</v>
      </c>
      <c r="Z29" s="347">
        <f t="shared" si="41"/>
        <v>51.557093425605537</v>
      </c>
      <c r="AB29" s="323" t="s">
        <v>173</v>
      </c>
      <c r="AC29" s="330">
        <f t="shared" si="32"/>
        <v>136</v>
      </c>
      <c r="AD29" s="330">
        <v>44</v>
      </c>
      <c r="AE29" s="330">
        <v>58</v>
      </c>
      <c r="AF29" s="330">
        <f t="shared" ref="AF29:AF33" si="47">SUM(AD29:AE29)</f>
        <v>102</v>
      </c>
      <c r="AG29" s="330">
        <v>5</v>
      </c>
      <c r="AH29" s="330">
        <v>4</v>
      </c>
      <c r="AI29" s="330">
        <v>4</v>
      </c>
      <c r="AJ29" s="330">
        <v>5</v>
      </c>
      <c r="AK29" s="330">
        <v>16</v>
      </c>
      <c r="AL29" s="330">
        <f t="shared" si="42"/>
        <v>34</v>
      </c>
      <c r="AM29" s="347">
        <f t="shared" si="33"/>
        <v>24.999999999999996</v>
      </c>
      <c r="AO29" s="323" t="s">
        <v>180</v>
      </c>
      <c r="AP29" s="330">
        <f t="shared" si="34"/>
        <v>313</v>
      </c>
      <c r="AQ29" s="330">
        <v>236</v>
      </c>
      <c r="AR29" s="330">
        <v>53</v>
      </c>
      <c r="AS29" s="330">
        <f t="shared" ref="AS29:AS30" si="48">SUM(AQ29:AR29)</f>
        <v>289</v>
      </c>
      <c r="AT29" s="330">
        <v>3</v>
      </c>
      <c r="AU29" s="330">
        <v>1</v>
      </c>
      <c r="AV29" s="330">
        <v>8</v>
      </c>
      <c r="AW29" s="330">
        <v>0</v>
      </c>
      <c r="AX29" s="330">
        <v>12</v>
      </c>
      <c r="AY29" s="330">
        <f t="shared" si="43"/>
        <v>24</v>
      </c>
      <c r="AZ29" s="347">
        <f>AY29/AP29%</f>
        <v>7.6677316293929714</v>
      </c>
      <c r="BB29" s="323" t="s">
        <v>184</v>
      </c>
      <c r="BC29" s="330">
        <f t="shared" si="35"/>
        <v>1025</v>
      </c>
      <c r="BD29" s="330">
        <v>636</v>
      </c>
      <c r="BE29" s="330">
        <v>187</v>
      </c>
      <c r="BF29" s="330">
        <f t="shared" si="44"/>
        <v>823</v>
      </c>
      <c r="BG29" s="330">
        <v>24</v>
      </c>
      <c r="BH29" s="330">
        <v>11</v>
      </c>
      <c r="BI29" s="330">
        <v>8</v>
      </c>
      <c r="BJ29" s="330">
        <v>2</v>
      </c>
      <c r="BK29" s="330">
        <v>157</v>
      </c>
      <c r="BL29" s="330">
        <f t="shared" si="45"/>
        <v>202</v>
      </c>
      <c r="BM29" s="347">
        <f t="shared" si="46"/>
        <v>19.707317073170731</v>
      </c>
    </row>
    <row r="30" spans="1:65" x14ac:dyDescent="0.25">
      <c r="B30" s="323" t="s">
        <v>162</v>
      </c>
      <c r="C30" s="330">
        <f t="shared" si="30"/>
        <v>324</v>
      </c>
      <c r="D30" s="330">
        <v>134</v>
      </c>
      <c r="E30" s="330">
        <v>103</v>
      </c>
      <c r="F30" s="330">
        <f t="shared" si="36"/>
        <v>237</v>
      </c>
      <c r="G30" s="330">
        <v>7</v>
      </c>
      <c r="H30" s="330">
        <v>2</v>
      </c>
      <c r="I30" s="330">
        <v>3</v>
      </c>
      <c r="J30" s="330">
        <v>23</v>
      </c>
      <c r="K30" s="330">
        <v>52</v>
      </c>
      <c r="L30" s="330">
        <f t="shared" si="37"/>
        <v>87</v>
      </c>
      <c r="M30" s="332">
        <f t="shared" si="38"/>
        <v>26.851851851851851</v>
      </c>
      <c r="O30" s="323" t="s">
        <v>169</v>
      </c>
      <c r="P30" s="330">
        <f t="shared" si="31"/>
        <v>255</v>
      </c>
      <c r="Q30" s="330">
        <v>69</v>
      </c>
      <c r="R30" s="354">
        <v>80</v>
      </c>
      <c r="S30" s="330">
        <f t="shared" si="39"/>
        <v>149</v>
      </c>
      <c r="T30" s="331">
        <v>8</v>
      </c>
      <c r="U30" s="330">
        <v>4</v>
      </c>
      <c r="V30" s="330">
        <v>1</v>
      </c>
      <c r="W30" s="330">
        <v>35</v>
      </c>
      <c r="X30" s="330">
        <v>58</v>
      </c>
      <c r="Y30" s="330">
        <f t="shared" si="40"/>
        <v>106</v>
      </c>
      <c r="Z30" s="332">
        <f t="shared" si="41"/>
        <v>41.568627450980394</v>
      </c>
      <c r="AB30" s="323" t="s">
        <v>174</v>
      </c>
      <c r="AC30" s="330">
        <f t="shared" si="32"/>
        <v>135</v>
      </c>
      <c r="AD30" s="330">
        <v>44</v>
      </c>
      <c r="AE30" s="330">
        <v>49</v>
      </c>
      <c r="AF30" s="330">
        <f t="shared" si="47"/>
        <v>93</v>
      </c>
      <c r="AG30" s="330">
        <v>13</v>
      </c>
      <c r="AH30" s="330">
        <v>7</v>
      </c>
      <c r="AI30" s="330">
        <v>6</v>
      </c>
      <c r="AJ30" s="330">
        <v>0</v>
      </c>
      <c r="AK30" s="330">
        <v>16</v>
      </c>
      <c r="AL30" s="330">
        <f t="shared" si="42"/>
        <v>42</v>
      </c>
      <c r="AM30" s="332">
        <f t="shared" si="33"/>
        <v>31.111111111111111</v>
      </c>
      <c r="AO30" s="323" t="s">
        <v>181</v>
      </c>
      <c r="AP30" s="330">
        <f t="shared" si="34"/>
        <v>245</v>
      </c>
      <c r="AQ30" s="330">
        <v>118</v>
      </c>
      <c r="AR30" s="330">
        <v>45</v>
      </c>
      <c r="AS30" s="330">
        <f t="shared" si="48"/>
        <v>163</v>
      </c>
      <c r="AT30" s="330">
        <v>19</v>
      </c>
      <c r="AU30" s="330">
        <v>4</v>
      </c>
      <c r="AV30" s="330">
        <v>10</v>
      </c>
      <c r="AW30" s="330">
        <v>2</v>
      </c>
      <c r="AX30" s="330">
        <v>47</v>
      </c>
      <c r="AY30" s="330">
        <f t="shared" si="43"/>
        <v>82</v>
      </c>
      <c r="AZ30" s="332">
        <f>AY30/AP30%</f>
        <v>33.469387755102041</v>
      </c>
      <c r="BB30" s="323" t="s">
        <v>185</v>
      </c>
      <c r="BC30" s="330">
        <f t="shared" si="35"/>
        <v>476</v>
      </c>
      <c r="BD30" s="330">
        <v>318</v>
      </c>
      <c r="BE30" s="330">
        <v>97</v>
      </c>
      <c r="BF30" s="330">
        <f t="shared" si="44"/>
        <v>415</v>
      </c>
      <c r="BG30" s="330">
        <v>4</v>
      </c>
      <c r="BH30" s="330">
        <v>4</v>
      </c>
      <c r="BI30" s="330">
        <v>1</v>
      </c>
      <c r="BJ30" s="330">
        <v>0</v>
      </c>
      <c r="BK30" s="330">
        <v>52</v>
      </c>
      <c r="BL30" s="330">
        <f t="shared" si="45"/>
        <v>61</v>
      </c>
      <c r="BM30" s="332">
        <f t="shared" si="46"/>
        <v>12.815126050420169</v>
      </c>
    </row>
    <row r="31" spans="1:65" x14ac:dyDescent="0.25">
      <c r="B31" s="323" t="s">
        <v>163</v>
      </c>
      <c r="C31" s="330">
        <f t="shared" si="30"/>
        <v>276</v>
      </c>
      <c r="D31" s="330">
        <v>134</v>
      </c>
      <c r="E31" s="330">
        <v>87</v>
      </c>
      <c r="F31" s="330">
        <f t="shared" si="36"/>
        <v>221</v>
      </c>
      <c r="G31" s="330">
        <v>4</v>
      </c>
      <c r="H31" s="330">
        <v>8</v>
      </c>
      <c r="I31" s="330">
        <v>2</v>
      </c>
      <c r="J31" s="330">
        <v>4</v>
      </c>
      <c r="K31" s="331">
        <v>37</v>
      </c>
      <c r="L31" s="330">
        <f t="shared" si="37"/>
        <v>55</v>
      </c>
      <c r="M31" s="332">
        <f t="shared" si="38"/>
        <v>19.927536231884059</v>
      </c>
      <c r="O31" s="323" t="s">
        <v>170</v>
      </c>
      <c r="P31" s="330">
        <f t="shared" si="31"/>
        <v>155</v>
      </c>
      <c r="Q31" s="330">
        <v>69</v>
      </c>
      <c r="R31" s="354">
        <v>50</v>
      </c>
      <c r="S31" s="330">
        <f t="shared" si="39"/>
        <v>119</v>
      </c>
      <c r="T31" s="331">
        <v>8</v>
      </c>
      <c r="U31" s="330">
        <v>5</v>
      </c>
      <c r="V31" s="330">
        <v>2</v>
      </c>
      <c r="W31" s="330">
        <v>0</v>
      </c>
      <c r="X31" s="331">
        <v>21</v>
      </c>
      <c r="Y31" s="330">
        <f t="shared" si="40"/>
        <v>36</v>
      </c>
      <c r="Z31" s="332">
        <f t="shared" si="41"/>
        <v>23.225806451612904</v>
      </c>
      <c r="AB31" s="323" t="s">
        <v>175</v>
      </c>
      <c r="AC31" s="330">
        <f t="shared" si="32"/>
        <v>124</v>
      </c>
      <c r="AD31" s="330">
        <v>44</v>
      </c>
      <c r="AE31" s="330">
        <v>46</v>
      </c>
      <c r="AF31" s="330">
        <f t="shared" si="47"/>
        <v>90</v>
      </c>
      <c r="AG31" s="330">
        <v>6</v>
      </c>
      <c r="AH31" s="330">
        <v>1</v>
      </c>
      <c r="AI31" s="330">
        <v>4</v>
      </c>
      <c r="AJ31" s="330">
        <v>0</v>
      </c>
      <c r="AK31" s="331">
        <v>23</v>
      </c>
      <c r="AL31" s="330">
        <f t="shared" si="42"/>
        <v>34</v>
      </c>
      <c r="AM31" s="332">
        <f t="shared" si="33"/>
        <v>27.419354838709676</v>
      </c>
      <c r="AO31" s="323"/>
      <c r="AP31" s="330"/>
      <c r="AQ31" s="330"/>
      <c r="AR31" s="330"/>
      <c r="AS31" s="330"/>
      <c r="AT31" s="330"/>
      <c r="AU31" s="330"/>
      <c r="AV31" s="330"/>
      <c r="AW31" s="330"/>
      <c r="AX31" s="331"/>
      <c r="AY31" s="330"/>
      <c r="AZ31" s="332"/>
      <c r="BB31" s="323"/>
      <c r="BC31" s="330"/>
      <c r="BD31" s="330"/>
      <c r="BE31" s="330"/>
      <c r="BF31" s="330"/>
      <c r="BG31" s="330"/>
      <c r="BH31" s="330"/>
      <c r="BI31" s="330"/>
      <c r="BJ31" s="330"/>
      <c r="BK31" s="331"/>
      <c r="BL31" s="330"/>
      <c r="BM31" s="332"/>
    </row>
    <row r="32" spans="1:65" x14ac:dyDescent="0.25">
      <c r="B32" s="323" t="s">
        <v>164</v>
      </c>
      <c r="C32" s="330">
        <f t="shared" si="30"/>
        <v>245</v>
      </c>
      <c r="D32" s="330">
        <v>134</v>
      </c>
      <c r="E32" s="330">
        <v>72</v>
      </c>
      <c r="F32" s="330">
        <f t="shared" si="36"/>
        <v>206</v>
      </c>
      <c r="G32" s="330">
        <v>1</v>
      </c>
      <c r="H32" s="330">
        <v>3</v>
      </c>
      <c r="I32" s="330">
        <v>2</v>
      </c>
      <c r="J32" s="330">
        <v>2</v>
      </c>
      <c r="K32" s="331">
        <v>31</v>
      </c>
      <c r="L32" s="330">
        <f t="shared" si="37"/>
        <v>39</v>
      </c>
      <c r="M32" s="332">
        <f t="shared" si="38"/>
        <v>15.918367346938775</v>
      </c>
      <c r="O32" s="323"/>
      <c r="P32" s="330"/>
      <c r="Q32" s="330"/>
      <c r="R32" s="330"/>
      <c r="S32" s="330"/>
      <c r="T32" s="330"/>
      <c r="U32" s="330"/>
      <c r="V32" s="330"/>
      <c r="W32" s="330"/>
      <c r="X32" s="331"/>
      <c r="Y32" s="330"/>
      <c r="Z32" s="332"/>
      <c r="AB32" s="323" t="s">
        <v>176</v>
      </c>
      <c r="AC32" s="330">
        <f t="shared" si="32"/>
        <v>118</v>
      </c>
      <c r="AD32" s="330">
        <v>44</v>
      </c>
      <c r="AE32" s="330">
        <v>47</v>
      </c>
      <c r="AF32" s="330">
        <f t="shared" si="47"/>
        <v>91</v>
      </c>
      <c r="AG32" s="330">
        <v>2</v>
      </c>
      <c r="AH32" s="330">
        <v>1</v>
      </c>
      <c r="AI32" s="330">
        <v>5</v>
      </c>
      <c r="AJ32" s="330">
        <v>1</v>
      </c>
      <c r="AK32" s="331">
        <v>18</v>
      </c>
      <c r="AL32" s="330">
        <f t="shared" si="42"/>
        <v>27</v>
      </c>
      <c r="AM32" s="332">
        <f t="shared" si="33"/>
        <v>22.881355932203391</v>
      </c>
      <c r="AO32" s="326" t="s">
        <v>9</v>
      </c>
      <c r="AP32" s="336">
        <f t="shared" ref="AP32:AY32" si="49">SUM(AP27:AP30)</f>
        <v>1383</v>
      </c>
      <c r="AQ32" s="336">
        <f>SUM(AQ27:AQ30)</f>
        <v>826</v>
      </c>
      <c r="AR32" s="336">
        <f t="shared" ref="AR32:AS32" si="50">SUM(AR27:AR30)</f>
        <v>267</v>
      </c>
      <c r="AS32" s="336">
        <f t="shared" si="50"/>
        <v>1093</v>
      </c>
      <c r="AT32" s="336">
        <f t="shared" si="49"/>
        <v>58</v>
      </c>
      <c r="AU32" s="336">
        <f t="shared" si="49"/>
        <v>13</v>
      </c>
      <c r="AV32" s="336">
        <f t="shared" si="49"/>
        <v>49</v>
      </c>
      <c r="AW32" s="336">
        <f t="shared" si="49"/>
        <v>3</v>
      </c>
      <c r="AX32" s="336">
        <f t="shared" si="49"/>
        <v>167</v>
      </c>
      <c r="AY32" s="336">
        <f t="shared" si="49"/>
        <v>290</v>
      </c>
      <c r="AZ32" s="337">
        <f>AY32/AP32%</f>
        <v>20.968908170643527</v>
      </c>
      <c r="BB32" s="326" t="s">
        <v>9</v>
      </c>
      <c r="BC32" s="336">
        <f t="shared" ref="BC32:BL32" si="51">SUM(BC27:BC30)</f>
        <v>3592</v>
      </c>
      <c r="BD32" s="336">
        <f>SUM(BD27:BD30)</f>
        <v>2226</v>
      </c>
      <c r="BE32" s="336">
        <f t="shared" ref="BE32:BF32" si="52">SUM(BE27:BE30)</f>
        <v>709</v>
      </c>
      <c r="BF32" s="336">
        <f t="shared" si="52"/>
        <v>2935</v>
      </c>
      <c r="BG32" s="336">
        <f t="shared" si="51"/>
        <v>85</v>
      </c>
      <c r="BH32" s="336">
        <f t="shared" si="51"/>
        <v>37</v>
      </c>
      <c r="BI32" s="336">
        <f t="shared" si="51"/>
        <v>18</v>
      </c>
      <c r="BJ32" s="336">
        <f t="shared" si="51"/>
        <v>7</v>
      </c>
      <c r="BK32" s="336">
        <f t="shared" si="51"/>
        <v>510</v>
      </c>
      <c r="BL32" s="336">
        <f t="shared" si="51"/>
        <v>657</v>
      </c>
      <c r="BM32" s="337">
        <f>BL32/BC32%</f>
        <v>18.29064587973274</v>
      </c>
    </row>
    <row r="33" spans="1:65" x14ac:dyDescent="0.25">
      <c r="B33" s="323" t="s">
        <v>165</v>
      </c>
      <c r="C33" s="330">
        <f t="shared" si="30"/>
        <v>198</v>
      </c>
      <c r="D33" s="330">
        <v>134</v>
      </c>
      <c r="E33" s="330">
        <v>34</v>
      </c>
      <c r="F33" s="330">
        <f t="shared" si="36"/>
        <v>168</v>
      </c>
      <c r="G33" s="330">
        <v>1</v>
      </c>
      <c r="H33" s="330">
        <v>4</v>
      </c>
      <c r="I33" s="330">
        <v>4</v>
      </c>
      <c r="J33" s="330">
        <v>0</v>
      </c>
      <c r="K33" s="331">
        <v>21</v>
      </c>
      <c r="L33" s="330">
        <f t="shared" si="37"/>
        <v>30</v>
      </c>
      <c r="M33" s="332">
        <f t="shared" si="38"/>
        <v>15.151515151515152</v>
      </c>
      <c r="O33" s="326" t="s">
        <v>9</v>
      </c>
      <c r="P33" s="336">
        <f t="shared" ref="P33:Y33" si="53">SUM(P27:P31)</f>
        <v>1546</v>
      </c>
      <c r="Q33" s="336">
        <f>SUM(Q27:Q31)</f>
        <v>483</v>
      </c>
      <c r="R33" s="336">
        <f t="shared" ref="R33:S33" si="54">SUM(R27:R31)</f>
        <v>372</v>
      </c>
      <c r="S33" s="336">
        <f t="shared" si="54"/>
        <v>855</v>
      </c>
      <c r="T33" s="336">
        <f t="shared" si="53"/>
        <v>125</v>
      </c>
      <c r="U33" s="336">
        <f t="shared" si="53"/>
        <v>47</v>
      </c>
      <c r="V33" s="336">
        <f t="shared" si="53"/>
        <v>24</v>
      </c>
      <c r="W33" s="336">
        <f t="shared" si="53"/>
        <v>101</v>
      </c>
      <c r="X33" s="336">
        <f t="shared" si="53"/>
        <v>394</v>
      </c>
      <c r="Y33" s="336">
        <f t="shared" si="53"/>
        <v>691</v>
      </c>
      <c r="Z33" s="337">
        <f>Y33/P33%</f>
        <v>44.69598965071151</v>
      </c>
      <c r="AB33" s="323" t="s">
        <v>177</v>
      </c>
      <c r="AC33" s="330">
        <f t="shared" si="32"/>
        <v>97</v>
      </c>
      <c r="AD33" s="330">
        <v>44</v>
      </c>
      <c r="AE33" s="330">
        <v>32</v>
      </c>
      <c r="AF33" s="330">
        <f t="shared" si="47"/>
        <v>76</v>
      </c>
      <c r="AG33" s="330">
        <v>3</v>
      </c>
      <c r="AH33" s="330">
        <v>0</v>
      </c>
      <c r="AI33" s="330">
        <v>5</v>
      </c>
      <c r="AJ33" s="330">
        <v>0</v>
      </c>
      <c r="AK33" s="331">
        <v>13</v>
      </c>
      <c r="AL33" s="330">
        <f t="shared" si="42"/>
        <v>21</v>
      </c>
      <c r="AM33" s="332">
        <f t="shared" si="33"/>
        <v>21.649484536082475</v>
      </c>
    </row>
    <row r="34" spans="1:65" x14ac:dyDescent="0.25">
      <c r="B34" s="323"/>
      <c r="C34" s="330"/>
      <c r="D34" s="330"/>
      <c r="E34" s="330"/>
      <c r="F34" s="330"/>
      <c r="G34" s="330"/>
      <c r="H34" s="330"/>
      <c r="I34" s="330"/>
      <c r="J34" s="330"/>
      <c r="K34" s="331"/>
      <c r="L34" s="330"/>
      <c r="M34" s="332"/>
      <c r="AB34" s="323"/>
      <c r="AC34" s="330"/>
      <c r="AD34" s="330"/>
      <c r="AE34" s="330"/>
      <c r="AF34" s="330"/>
      <c r="AG34" s="330"/>
      <c r="AH34" s="330"/>
      <c r="AI34" s="330"/>
      <c r="AJ34" s="330"/>
      <c r="AK34" s="331"/>
      <c r="AL34" s="330"/>
      <c r="AM34" s="332"/>
    </row>
    <row r="35" spans="1:65" x14ac:dyDescent="0.25">
      <c r="B35" s="326" t="s">
        <v>9</v>
      </c>
      <c r="C35" s="336">
        <f t="shared" ref="C35:L35" si="55">SUM(C27:C33)</f>
        <v>2656</v>
      </c>
      <c r="D35" s="336">
        <f>SUM(D27:D33)</f>
        <v>938</v>
      </c>
      <c r="E35" s="336">
        <f t="shared" ref="E35:F35" si="56">SUM(E27:E33)</f>
        <v>804</v>
      </c>
      <c r="F35" s="336">
        <f t="shared" si="56"/>
        <v>1742</v>
      </c>
      <c r="G35" s="336">
        <f t="shared" si="55"/>
        <v>82</v>
      </c>
      <c r="H35" s="336">
        <f t="shared" si="55"/>
        <v>58</v>
      </c>
      <c r="I35" s="336">
        <f t="shared" si="55"/>
        <v>58</v>
      </c>
      <c r="J35" s="336">
        <f t="shared" si="55"/>
        <v>144</v>
      </c>
      <c r="K35" s="336">
        <f t="shared" si="55"/>
        <v>572</v>
      </c>
      <c r="L35" s="336">
        <f t="shared" si="55"/>
        <v>914</v>
      </c>
      <c r="M35" s="337">
        <f>L35/C35%</f>
        <v>34.412650602409641</v>
      </c>
      <c r="AB35" s="326" t="s">
        <v>9</v>
      </c>
      <c r="AC35" s="336">
        <f t="shared" ref="AC35:AL35" si="57">SUM(AC27:AC33)</f>
        <v>1180</v>
      </c>
      <c r="AD35" s="336">
        <f>SUM(AD27:AD34)</f>
        <v>308</v>
      </c>
      <c r="AE35" s="336">
        <f t="shared" ref="AE35:AF35" si="58">SUM(AE27:AE34)</f>
        <v>377</v>
      </c>
      <c r="AF35" s="336">
        <f t="shared" si="58"/>
        <v>685</v>
      </c>
      <c r="AG35" s="336">
        <f t="shared" si="57"/>
        <v>112</v>
      </c>
      <c r="AH35" s="336">
        <f t="shared" si="57"/>
        <v>36</v>
      </c>
      <c r="AI35" s="336">
        <f t="shared" si="57"/>
        <v>87</v>
      </c>
      <c r="AJ35" s="336">
        <f t="shared" si="57"/>
        <v>17</v>
      </c>
      <c r="AK35" s="336">
        <f t="shared" si="57"/>
        <v>243</v>
      </c>
      <c r="AL35" s="336">
        <f t="shared" si="57"/>
        <v>495</v>
      </c>
      <c r="AM35" s="337">
        <f>AL35/AC35%</f>
        <v>41.949152542372879</v>
      </c>
    </row>
    <row r="38" spans="1:65" ht="33.75" customHeight="1" x14ac:dyDescent="0.25">
      <c r="A38" s="328" t="s">
        <v>186</v>
      </c>
      <c r="B38" s="420" t="s">
        <v>100</v>
      </c>
      <c r="C38" s="422" t="s">
        <v>101</v>
      </c>
      <c r="D38" s="424" t="s">
        <v>236</v>
      </c>
      <c r="E38" s="426"/>
      <c r="F38" s="425"/>
      <c r="G38" s="424" t="s">
        <v>240</v>
      </c>
      <c r="H38" s="426"/>
      <c r="I38" s="426"/>
      <c r="J38" s="426"/>
      <c r="K38" s="425"/>
      <c r="L38" s="427" t="s">
        <v>239</v>
      </c>
      <c r="M38" s="428"/>
      <c r="N38" s="339" t="s">
        <v>19</v>
      </c>
      <c r="O38" s="420" t="s">
        <v>100</v>
      </c>
      <c r="P38" s="422" t="s">
        <v>101</v>
      </c>
      <c r="Q38" s="424" t="s">
        <v>236</v>
      </c>
      <c r="R38" s="426"/>
      <c r="S38" s="425"/>
      <c r="T38" s="424" t="s">
        <v>240</v>
      </c>
      <c r="U38" s="426"/>
      <c r="V38" s="426"/>
      <c r="W38" s="426"/>
      <c r="X38" s="425"/>
      <c r="Y38" s="427" t="s">
        <v>239</v>
      </c>
      <c r="Z38" s="428"/>
      <c r="AA38" s="339" t="s">
        <v>90</v>
      </c>
      <c r="AB38" s="312" t="s">
        <v>195</v>
      </c>
      <c r="AN38" s="339" t="s">
        <v>49</v>
      </c>
      <c r="AO38" s="420" t="s">
        <v>100</v>
      </c>
      <c r="AP38" s="422" t="s">
        <v>101</v>
      </c>
      <c r="AQ38" s="424" t="s">
        <v>236</v>
      </c>
      <c r="AR38" s="426"/>
      <c r="AS38" s="425"/>
      <c r="AT38" s="424" t="s">
        <v>240</v>
      </c>
      <c r="AU38" s="426"/>
      <c r="AV38" s="426"/>
      <c r="AW38" s="426"/>
      <c r="AX38" s="425"/>
      <c r="AY38" s="427" t="s">
        <v>239</v>
      </c>
      <c r="AZ38" s="428"/>
      <c r="BA38" s="339" t="s">
        <v>21</v>
      </c>
      <c r="BB38" s="420" t="s">
        <v>100</v>
      </c>
      <c r="BC38" s="422" t="s">
        <v>101</v>
      </c>
      <c r="BD38" s="424" t="s">
        <v>236</v>
      </c>
      <c r="BE38" s="426"/>
      <c r="BF38" s="425"/>
      <c r="BG38" s="424" t="s">
        <v>240</v>
      </c>
      <c r="BH38" s="426"/>
      <c r="BI38" s="426"/>
      <c r="BJ38" s="426"/>
      <c r="BK38" s="425"/>
      <c r="BL38" s="427" t="s">
        <v>239</v>
      </c>
      <c r="BM38" s="428"/>
    </row>
    <row r="39" spans="1:65" x14ac:dyDescent="0.25">
      <c r="B39" s="421"/>
      <c r="C39" s="423"/>
      <c r="D39" s="327" t="s">
        <v>237</v>
      </c>
      <c r="E39" s="327" t="s">
        <v>238</v>
      </c>
      <c r="F39" s="327" t="s">
        <v>9</v>
      </c>
      <c r="G39" s="327" t="s">
        <v>19</v>
      </c>
      <c r="H39" s="327" t="s">
        <v>90</v>
      </c>
      <c r="I39" s="327" t="s">
        <v>49</v>
      </c>
      <c r="J39" s="327" t="s">
        <v>21</v>
      </c>
      <c r="K39" s="321" t="s">
        <v>102</v>
      </c>
      <c r="L39" s="322" t="s">
        <v>46</v>
      </c>
      <c r="M39" s="321" t="s">
        <v>22</v>
      </c>
      <c r="O39" s="421"/>
      <c r="P39" s="423"/>
      <c r="Q39" s="327" t="s">
        <v>237</v>
      </c>
      <c r="R39" s="327" t="s">
        <v>238</v>
      </c>
      <c r="S39" s="327" t="s">
        <v>9</v>
      </c>
      <c r="T39" s="327" t="s">
        <v>18</v>
      </c>
      <c r="U39" s="327" t="s">
        <v>90</v>
      </c>
      <c r="V39" s="327" t="s">
        <v>49</v>
      </c>
      <c r="W39" s="327" t="s">
        <v>21</v>
      </c>
      <c r="X39" s="321" t="s">
        <v>102</v>
      </c>
      <c r="Y39" s="322" t="s">
        <v>46</v>
      </c>
      <c r="Z39" s="321" t="s">
        <v>22</v>
      </c>
      <c r="AO39" s="421"/>
      <c r="AP39" s="423"/>
      <c r="AQ39" s="327" t="s">
        <v>237</v>
      </c>
      <c r="AR39" s="327" t="s">
        <v>238</v>
      </c>
      <c r="AS39" s="327" t="s">
        <v>9</v>
      </c>
      <c r="AT39" s="327" t="s">
        <v>18</v>
      </c>
      <c r="AU39" s="327" t="s">
        <v>19</v>
      </c>
      <c r="AV39" s="327" t="s">
        <v>90</v>
      </c>
      <c r="AW39" s="327" t="s">
        <v>21</v>
      </c>
      <c r="AX39" s="321" t="s">
        <v>102</v>
      </c>
      <c r="AY39" s="322" t="s">
        <v>9</v>
      </c>
      <c r="AZ39" s="321" t="s">
        <v>22</v>
      </c>
      <c r="BB39" s="421"/>
      <c r="BC39" s="423"/>
      <c r="BD39" s="327" t="s">
        <v>237</v>
      </c>
      <c r="BE39" s="327" t="s">
        <v>238</v>
      </c>
      <c r="BF39" s="327" t="s">
        <v>9</v>
      </c>
      <c r="BG39" s="327" t="s">
        <v>18</v>
      </c>
      <c r="BH39" s="327" t="s">
        <v>19</v>
      </c>
      <c r="BI39" s="327" t="s">
        <v>90</v>
      </c>
      <c r="BJ39" s="327" t="s">
        <v>49</v>
      </c>
      <c r="BK39" s="321" t="s">
        <v>102</v>
      </c>
      <c r="BL39" s="322" t="s">
        <v>9</v>
      </c>
      <c r="BM39" s="321" t="s">
        <v>22</v>
      </c>
    </row>
    <row r="40" spans="1:65" x14ac:dyDescent="0.25">
      <c r="B40" s="323"/>
      <c r="C40" s="323"/>
      <c r="D40" s="323"/>
      <c r="E40" s="323"/>
      <c r="F40" s="323"/>
      <c r="G40" s="323"/>
      <c r="H40" s="323"/>
      <c r="I40" s="323"/>
      <c r="J40" s="323"/>
      <c r="K40" s="324"/>
      <c r="L40" s="323"/>
      <c r="M40" s="324"/>
      <c r="O40" s="323"/>
      <c r="P40" s="323"/>
      <c r="Q40" s="323"/>
      <c r="R40" s="323"/>
      <c r="S40" s="323"/>
      <c r="T40" s="323"/>
      <c r="U40" s="323"/>
      <c r="V40" s="323"/>
      <c r="W40" s="323"/>
      <c r="X40" s="324"/>
      <c r="Y40" s="323"/>
      <c r="Z40" s="324"/>
      <c r="AO40" s="323"/>
      <c r="AP40" s="323"/>
      <c r="AQ40" s="323"/>
      <c r="AR40" s="323"/>
      <c r="AS40" s="323"/>
      <c r="AT40" s="323"/>
      <c r="AU40" s="323"/>
      <c r="AV40" s="323"/>
      <c r="AW40" s="323"/>
      <c r="AX40" s="324"/>
      <c r="AY40" s="323"/>
      <c r="AZ40" s="324"/>
      <c r="BB40" s="323"/>
      <c r="BC40" s="323"/>
      <c r="BD40" s="323"/>
      <c r="BE40" s="323"/>
      <c r="BF40" s="323"/>
      <c r="BG40" s="323"/>
      <c r="BH40" s="323"/>
      <c r="BI40" s="323"/>
      <c r="BJ40" s="323"/>
      <c r="BK40" s="324"/>
      <c r="BL40" s="323"/>
      <c r="BM40" s="324"/>
    </row>
    <row r="41" spans="1:65" x14ac:dyDescent="0.25">
      <c r="B41" s="342" t="s">
        <v>187</v>
      </c>
      <c r="C41" s="333">
        <f t="shared" ref="C41:C44" si="59">F41+L41</f>
        <v>615</v>
      </c>
      <c r="D41" s="333">
        <v>236</v>
      </c>
      <c r="E41" s="333">
        <v>153</v>
      </c>
      <c r="F41" s="333">
        <f>SUM(D41:E41)</f>
        <v>389</v>
      </c>
      <c r="G41" s="333">
        <v>34</v>
      </c>
      <c r="H41" s="333" t="s">
        <v>191</v>
      </c>
      <c r="I41" s="333">
        <v>14</v>
      </c>
      <c r="J41" s="333">
        <v>37</v>
      </c>
      <c r="K41" s="340">
        <v>141</v>
      </c>
      <c r="L41" s="333">
        <f>SUM(G41:K41)</f>
        <v>226</v>
      </c>
      <c r="M41" s="346">
        <f>L41/C41%</f>
        <v>36.747967479674791</v>
      </c>
      <c r="O41" s="342" t="s">
        <v>192</v>
      </c>
      <c r="P41" s="333">
        <f t="shared" ref="P41:P43" si="60">S41+Y41</f>
        <v>794</v>
      </c>
      <c r="Q41" s="333">
        <v>194</v>
      </c>
      <c r="R41" s="333">
        <v>124</v>
      </c>
      <c r="S41" s="333">
        <f>SUM(Q41:R41)</f>
        <v>318</v>
      </c>
      <c r="T41" s="333">
        <v>69</v>
      </c>
      <c r="U41" s="333" t="s">
        <v>191</v>
      </c>
      <c r="V41" s="333">
        <v>34</v>
      </c>
      <c r="W41" s="333">
        <v>83</v>
      </c>
      <c r="X41" s="340">
        <v>290</v>
      </c>
      <c r="Y41" s="333">
        <f>SUM(T41:X41)</f>
        <v>476</v>
      </c>
      <c r="Z41" s="346">
        <f>Y41/P41%</f>
        <v>59.949622166246847</v>
      </c>
      <c r="AO41" s="341" t="s">
        <v>196</v>
      </c>
      <c r="AP41" s="330">
        <f t="shared" ref="AP41:AP44" si="61">AS41+AY41</f>
        <v>778</v>
      </c>
      <c r="AQ41" s="330">
        <v>394</v>
      </c>
      <c r="AR41" s="330">
        <v>140</v>
      </c>
      <c r="AS41" s="330">
        <f>SUM(AQ41:AR41)</f>
        <v>534</v>
      </c>
      <c r="AT41" s="330">
        <v>49</v>
      </c>
      <c r="AU41" s="330">
        <v>19</v>
      </c>
      <c r="AV41" s="330" t="s">
        <v>191</v>
      </c>
      <c r="AW41" s="330">
        <v>17</v>
      </c>
      <c r="AX41" s="331">
        <v>159</v>
      </c>
      <c r="AY41" s="330">
        <f>SUM(AT41:AX41)</f>
        <v>244</v>
      </c>
      <c r="AZ41" s="332">
        <f>AY41/AP41%</f>
        <v>31.362467866323907</v>
      </c>
      <c r="BB41" s="341" t="s">
        <v>200</v>
      </c>
      <c r="BC41" s="330">
        <f t="shared" ref="BC41:BC44" si="62">BF41+BL41</f>
        <v>862</v>
      </c>
      <c r="BD41" s="330">
        <v>324</v>
      </c>
      <c r="BE41" s="330">
        <v>217</v>
      </c>
      <c r="BF41" s="330">
        <f>SUM(BD41:BE41)</f>
        <v>541</v>
      </c>
      <c r="BG41" s="330">
        <v>48</v>
      </c>
      <c r="BH41" s="330">
        <v>48</v>
      </c>
      <c r="BI41" s="330" t="s">
        <v>191</v>
      </c>
      <c r="BJ41" s="330">
        <v>5</v>
      </c>
      <c r="BK41" s="331">
        <v>220</v>
      </c>
      <c r="BL41" s="330">
        <f>SUM(BG41:BK41)</f>
        <v>321</v>
      </c>
      <c r="BM41" s="332">
        <f>BL41/BC41%</f>
        <v>37.238979118329468</v>
      </c>
    </row>
    <row r="42" spans="1:65" x14ac:dyDescent="0.25">
      <c r="B42" s="323" t="s">
        <v>188</v>
      </c>
      <c r="C42" s="330">
        <f t="shared" si="59"/>
        <v>549</v>
      </c>
      <c r="D42" s="330">
        <v>236</v>
      </c>
      <c r="E42" s="330">
        <v>132</v>
      </c>
      <c r="F42" s="330">
        <f t="shared" ref="F42:F44" si="63">SUM(D42:E42)</f>
        <v>368</v>
      </c>
      <c r="G42" s="330">
        <v>24</v>
      </c>
      <c r="H42" s="330" t="s">
        <v>191</v>
      </c>
      <c r="I42" s="330">
        <v>31</v>
      </c>
      <c r="J42" s="330">
        <v>21</v>
      </c>
      <c r="K42" s="331">
        <v>105</v>
      </c>
      <c r="L42" s="330">
        <f t="shared" ref="L42:L44" si="64">SUM(G42:K42)</f>
        <v>181</v>
      </c>
      <c r="M42" s="332">
        <f t="shared" ref="M42:M44" si="65">L42/C42%</f>
        <v>32.96903460837887</v>
      </c>
      <c r="O42" s="323" t="s">
        <v>193</v>
      </c>
      <c r="P42" s="330">
        <f t="shared" si="60"/>
        <v>477</v>
      </c>
      <c r="Q42" s="330">
        <v>194</v>
      </c>
      <c r="R42" s="330">
        <v>85</v>
      </c>
      <c r="S42" s="330">
        <f>SUM(Q42:R42)</f>
        <v>279</v>
      </c>
      <c r="T42" s="330">
        <v>24</v>
      </c>
      <c r="U42" s="330" t="s">
        <v>191</v>
      </c>
      <c r="V42" s="330">
        <v>10</v>
      </c>
      <c r="W42" s="330">
        <v>29</v>
      </c>
      <c r="X42" s="331">
        <v>135</v>
      </c>
      <c r="Y42" s="330">
        <f t="shared" ref="Y42:Y43" si="66">SUM(T42:X42)</f>
        <v>198</v>
      </c>
      <c r="Z42" s="332">
        <f t="shared" ref="Z42:Z43" si="67">Y42/P42%</f>
        <v>41.509433962264154</v>
      </c>
      <c r="AO42" s="325" t="s">
        <v>197</v>
      </c>
      <c r="AP42" s="333">
        <f t="shared" si="61"/>
        <v>714</v>
      </c>
      <c r="AQ42" s="333">
        <v>394</v>
      </c>
      <c r="AR42" s="333">
        <v>124</v>
      </c>
      <c r="AS42" s="333">
        <f t="shared" ref="AS42:AS44" si="68">SUM(AQ42:AR42)</f>
        <v>518</v>
      </c>
      <c r="AT42" s="333">
        <v>30</v>
      </c>
      <c r="AU42" s="333">
        <v>15</v>
      </c>
      <c r="AV42" s="333" t="s">
        <v>191</v>
      </c>
      <c r="AW42" s="333">
        <v>23</v>
      </c>
      <c r="AX42" s="340">
        <v>128</v>
      </c>
      <c r="AY42" s="333">
        <f t="shared" ref="AY42:AY44" si="69">SUM(AT42:AX42)</f>
        <v>196</v>
      </c>
      <c r="AZ42" s="346">
        <f>AY42/AP42%</f>
        <v>27.450980392156865</v>
      </c>
      <c r="BB42" s="325" t="s">
        <v>201</v>
      </c>
      <c r="BC42" s="333">
        <f t="shared" si="62"/>
        <v>561</v>
      </c>
      <c r="BD42" s="333">
        <v>324</v>
      </c>
      <c r="BE42" s="333">
        <v>142</v>
      </c>
      <c r="BF42" s="333">
        <f t="shared" ref="BF42:BF44" si="70">SUM(BD42:BE42)</f>
        <v>466</v>
      </c>
      <c r="BG42" s="333">
        <v>10</v>
      </c>
      <c r="BH42" s="333">
        <v>5</v>
      </c>
      <c r="BI42" s="333" t="s">
        <v>191</v>
      </c>
      <c r="BJ42" s="333">
        <v>1</v>
      </c>
      <c r="BK42" s="340">
        <v>79</v>
      </c>
      <c r="BL42" s="333">
        <f t="shared" ref="BL42:BL44" si="71">SUM(BG42:BK42)</f>
        <v>95</v>
      </c>
      <c r="BM42" s="346">
        <f t="shared" ref="BM42:BM44" si="72">BL42/BC42%</f>
        <v>16.934046345811051</v>
      </c>
    </row>
    <row r="43" spans="1:65" x14ac:dyDescent="0.25">
      <c r="B43" s="323" t="s">
        <v>189</v>
      </c>
      <c r="C43" s="330">
        <f t="shared" si="59"/>
        <v>331</v>
      </c>
      <c r="D43" s="330">
        <v>118</v>
      </c>
      <c r="E43" s="354">
        <v>79</v>
      </c>
      <c r="F43" s="330">
        <f t="shared" si="63"/>
        <v>197</v>
      </c>
      <c r="G43" s="331">
        <v>16</v>
      </c>
      <c r="H43" s="330" t="s">
        <v>191</v>
      </c>
      <c r="I43" s="330">
        <v>12</v>
      </c>
      <c r="J43" s="330">
        <v>16</v>
      </c>
      <c r="K43" s="330">
        <v>90</v>
      </c>
      <c r="L43" s="330">
        <f t="shared" si="64"/>
        <v>134</v>
      </c>
      <c r="M43" s="347">
        <f t="shared" si="65"/>
        <v>40.483383685800604</v>
      </c>
      <c r="O43" s="323" t="s">
        <v>194</v>
      </c>
      <c r="P43" s="330">
        <f t="shared" si="60"/>
        <v>247</v>
      </c>
      <c r="Q43" s="330">
        <v>194</v>
      </c>
      <c r="R43" s="330">
        <v>11</v>
      </c>
      <c r="S43" s="330">
        <f>SUM(Q43:R43)</f>
        <v>205</v>
      </c>
      <c r="T43" s="330">
        <v>2</v>
      </c>
      <c r="U43" s="330" t="s">
        <v>191</v>
      </c>
      <c r="V43" s="330">
        <v>3</v>
      </c>
      <c r="W43" s="330">
        <v>3</v>
      </c>
      <c r="X43" s="330">
        <v>34</v>
      </c>
      <c r="Y43" s="330">
        <f t="shared" si="66"/>
        <v>42</v>
      </c>
      <c r="Z43" s="347">
        <f t="shared" si="67"/>
        <v>17.004048582995949</v>
      </c>
      <c r="AO43" s="323" t="s">
        <v>198</v>
      </c>
      <c r="AP43" s="330">
        <f t="shared" si="61"/>
        <v>356</v>
      </c>
      <c r="AQ43" s="330">
        <v>197</v>
      </c>
      <c r="AR43" s="330">
        <v>64</v>
      </c>
      <c r="AS43" s="330">
        <f t="shared" si="68"/>
        <v>261</v>
      </c>
      <c r="AT43" s="330">
        <v>13</v>
      </c>
      <c r="AU43" s="330">
        <v>3</v>
      </c>
      <c r="AV43" s="330" t="s">
        <v>191</v>
      </c>
      <c r="AW43" s="330">
        <v>12</v>
      </c>
      <c r="AX43" s="330">
        <v>67</v>
      </c>
      <c r="AY43" s="330">
        <f t="shared" si="69"/>
        <v>95</v>
      </c>
      <c r="AZ43" s="347">
        <f>AY43/AP43%</f>
        <v>26.685393258426966</v>
      </c>
      <c r="BB43" s="323" t="s">
        <v>202</v>
      </c>
      <c r="BC43" s="330">
        <f t="shared" si="62"/>
        <v>265</v>
      </c>
      <c r="BD43" s="330">
        <v>162</v>
      </c>
      <c r="BE43" s="330">
        <v>52</v>
      </c>
      <c r="BF43" s="330">
        <f t="shared" si="70"/>
        <v>214</v>
      </c>
      <c r="BG43" s="330">
        <v>4</v>
      </c>
      <c r="BH43" s="330">
        <v>4</v>
      </c>
      <c r="BI43" s="330" t="s">
        <v>191</v>
      </c>
      <c r="BJ43" s="330">
        <v>0</v>
      </c>
      <c r="BK43" s="330">
        <v>43</v>
      </c>
      <c r="BL43" s="330">
        <f t="shared" si="71"/>
        <v>51</v>
      </c>
      <c r="BM43" s="347">
        <f t="shared" si="72"/>
        <v>19.245283018867926</v>
      </c>
    </row>
    <row r="44" spans="1:65" x14ac:dyDescent="0.25">
      <c r="B44" s="323" t="s">
        <v>190</v>
      </c>
      <c r="C44" s="330">
        <f t="shared" si="59"/>
        <v>277</v>
      </c>
      <c r="D44" s="330">
        <v>118</v>
      </c>
      <c r="E44" s="354">
        <v>70</v>
      </c>
      <c r="F44" s="330">
        <f t="shared" si="63"/>
        <v>188</v>
      </c>
      <c r="G44" s="331">
        <v>4</v>
      </c>
      <c r="H44" s="330" t="s">
        <v>191</v>
      </c>
      <c r="I44" s="330">
        <v>7</v>
      </c>
      <c r="J44" s="330">
        <v>12</v>
      </c>
      <c r="K44" s="330">
        <v>66</v>
      </c>
      <c r="L44" s="330">
        <f t="shared" si="64"/>
        <v>89</v>
      </c>
      <c r="M44" s="332">
        <f t="shared" si="65"/>
        <v>32.129963898916969</v>
      </c>
      <c r="O44" s="323"/>
      <c r="P44" s="330"/>
      <c r="Q44" s="330"/>
      <c r="R44" s="330"/>
      <c r="S44" s="330"/>
      <c r="T44" s="330"/>
      <c r="U44" s="330"/>
      <c r="V44" s="330"/>
      <c r="W44" s="330"/>
      <c r="X44" s="331"/>
      <c r="Y44" s="330"/>
      <c r="Z44" s="332"/>
      <c r="AO44" s="323" t="s">
        <v>199</v>
      </c>
      <c r="AP44" s="330">
        <f t="shared" si="61"/>
        <v>285</v>
      </c>
      <c r="AQ44" s="330">
        <v>197</v>
      </c>
      <c r="AR44" s="330">
        <v>45</v>
      </c>
      <c r="AS44" s="330">
        <f t="shared" si="68"/>
        <v>242</v>
      </c>
      <c r="AT44" s="330">
        <v>2</v>
      </c>
      <c r="AU44" s="330">
        <v>4</v>
      </c>
      <c r="AV44" s="330" t="s">
        <v>191</v>
      </c>
      <c r="AW44" s="330">
        <v>2</v>
      </c>
      <c r="AX44" s="330">
        <v>35</v>
      </c>
      <c r="AY44" s="330">
        <f t="shared" si="69"/>
        <v>43</v>
      </c>
      <c r="AZ44" s="332">
        <f>AY44/AP44%</f>
        <v>15.087719298245613</v>
      </c>
      <c r="BB44" s="323" t="s">
        <v>203</v>
      </c>
      <c r="BC44" s="330">
        <f t="shared" si="62"/>
        <v>252</v>
      </c>
      <c r="BD44" s="330">
        <v>162</v>
      </c>
      <c r="BE44" s="330">
        <v>64</v>
      </c>
      <c r="BF44" s="330">
        <f t="shared" si="70"/>
        <v>226</v>
      </c>
      <c r="BG44" s="330">
        <v>1</v>
      </c>
      <c r="BH44" s="330">
        <v>0</v>
      </c>
      <c r="BI44" s="330" t="s">
        <v>191</v>
      </c>
      <c r="BJ44" s="330">
        <v>2</v>
      </c>
      <c r="BK44" s="330">
        <v>23</v>
      </c>
      <c r="BL44" s="330">
        <f t="shared" si="71"/>
        <v>26</v>
      </c>
      <c r="BM44" s="332">
        <f t="shared" si="72"/>
        <v>10.317460317460318</v>
      </c>
    </row>
    <row r="45" spans="1:65" x14ac:dyDescent="0.25">
      <c r="B45" s="323"/>
      <c r="C45" s="330"/>
      <c r="D45" s="330"/>
      <c r="E45" s="330"/>
      <c r="F45" s="330"/>
      <c r="G45" s="330"/>
      <c r="H45" s="330"/>
      <c r="I45" s="330"/>
      <c r="J45" s="330"/>
      <c r="K45" s="331"/>
      <c r="L45" s="330"/>
      <c r="M45" s="332"/>
      <c r="O45" s="326" t="s">
        <v>9</v>
      </c>
      <c r="P45" s="336">
        <f>SUM(P41:P43)</f>
        <v>1518</v>
      </c>
      <c r="Q45" s="336">
        <f>SUM(Q41:Q44)</f>
        <v>582</v>
      </c>
      <c r="R45" s="336">
        <f t="shared" ref="R45:S45" si="73">SUM(R41:R44)</f>
        <v>220</v>
      </c>
      <c r="S45" s="336">
        <f t="shared" si="73"/>
        <v>802</v>
      </c>
      <c r="T45" s="336">
        <f>SUM(T41:T43)</f>
        <v>95</v>
      </c>
      <c r="U45" s="336" t="s">
        <v>191</v>
      </c>
      <c r="V45" s="336">
        <f>SUM(V41:V43)</f>
        <v>47</v>
      </c>
      <c r="W45" s="336">
        <f>SUM(W41:W43)</f>
        <v>115</v>
      </c>
      <c r="X45" s="336">
        <f>SUM(X41:X43)</f>
        <v>459</v>
      </c>
      <c r="Y45" s="336">
        <f>SUM(Y41:Y43)</f>
        <v>716</v>
      </c>
      <c r="Z45" s="337">
        <f>Y45/P45%</f>
        <v>47.167325428194992</v>
      </c>
      <c r="AO45" s="323"/>
      <c r="AP45" s="330"/>
      <c r="AQ45" s="330"/>
      <c r="AR45" s="330"/>
      <c r="AS45" s="330"/>
      <c r="AT45" s="330"/>
      <c r="AU45" s="330"/>
      <c r="AV45" s="330"/>
      <c r="AW45" s="330"/>
      <c r="AX45" s="331"/>
      <c r="AY45" s="330"/>
      <c r="AZ45" s="332"/>
      <c r="BB45" s="323"/>
      <c r="BC45" s="330"/>
      <c r="BD45" s="330"/>
      <c r="BE45" s="330"/>
      <c r="BF45" s="330"/>
      <c r="BG45" s="330"/>
      <c r="BH45" s="330"/>
      <c r="BI45" s="330"/>
      <c r="BJ45" s="330"/>
      <c r="BK45" s="331"/>
      <c r="BL45" s="330"/>
      <c r="BM45" s="332"/>
    </row>
    <row r="46" spans="1:65" x14ac:dyDescent="0.25">
      <c r="B46" s="326" t="s">
        <v>9</v>
      </c>
      <c r="C46" s="336">
        <f>SUM(C41:C44)</f>
        <v>1772</v>
      </c>
      <c r="D46" s="336">
        <f>SUM(D41:D45)</f>
        <v>708</v>
      </c>
      <c r="E46" s="336">
        <f t="shared" ref="E46:F46" si="74">SUM(E41:E45)</f>
        <v>434</v>
      </c>
      <c r="F46" s="336">
        <f t="shared" si="74"/>
        <v>1142</v>
      </c>
      <c r="G46" s="336">
        <f>SUM(G41:G44)</f>
        <v>78</v>
      </c>
      <c r="H46" s="336" t="s">
        <v>191</v>
      </c>
      <c r="I46" s="336">
        <f>SUM(I41:I44)</f>
        <v>64</v>
      </c>
      <c r="J46" s="336">
        <f>SUM(J41:J44)</f>
        <v>86</v>
      </c>
      <c r="K46" s="336">
        <f>SUM(K41:K44)</f>
        <v>402</v>
      </c>
      <c r="L46" s="336">
        <f>SUM(L41:L44)</f>
        <v>630</v>
      </c>
      <c r="M46" s="337">
        <f>L46/C46%</f>
        <v>35.553047404063207</v>
      </c>
      <c r="AO46" s="326" t="s">
        <v>9</v>
      </c>
      <c r="AP46" s="336">
        <f>SUM(AP41:AP44)</f>
        <v>2133</v>
      </c>
      <c r="AQ46" s="336">
        <f>SUM(AQ41:AQ45)</f>
        <v>1182</v>
      </c>
      <c r="AR46" s="336">
        <f t="shared" ref="AR46:AS46" si="75">SUM(AR41:AR45)</f>
        <v>373</v>
      </c>
      <c r="AS46" s="336">
        <f t="shared" si="75"/>
        <v>1555</v>
      </c>
      <c r="AT46" s="336">
        <f>SUM(AT41:AT44)</f>
        <v>94</v>
      </c>
      <c r="AU46" s="336">
        <f>SUM(AU41:AU44)</f>
        <v>41</v>
      </c>
      <c r="AV46" s="336" t="s">
        <v>191</v>
      </c>
      <c r="AW46" s="336">
        <f>SUM(AW41:AW44)</f>
        <v>54</v>
      </c>
      <c r="AX46" s="336">
        <f>SUM(AX41:AX44)</f>
        <v>389</v>
      </c>
      <c r="AY46" s="336">
        <f>SUM(AY41:AY44)</f>
        <v>578</v>
      </c>
      <c r="AZ46" s="337">
        <f>AY46/AP46%</f>
        <v>27.097984060009377</v>
      </c>
      <c r="BB46" s="326" t="s">
        <v>9</v>
      </c>
      <c r="BC46" s="336">
        <f>SUM(BC41:BC44)</f>
        <v>1940</v>
      </c>
      <c r="BD46" s="336">
        <f>SUM(BD41:BD45)</f>
        <v>972</v>
      </c>
      <c r="BE46" s="336">
        <f t="shared" ref="BE46:BF46" si="76">SUM(BE41:BE45)</f>
        <v>475</v>
      </c>
      <c r="BF46" s="336">
        <f t="shared" si="76"/>
        <v>1447</v>
      </c>
      <c r="BG46" s="336">
        <f>SUM(BG41:BG44)</f>
        <v>63</v>
      </c>
      <c r="BH46" s="336">
        <f>SUM(BH41:BH44)</f>
        <v>57</v>
      </c>
      <c r="BI46" s="336" t="s">
        <v>191</v>
      </c>
      <c r="BJ46" s="336">
        <f>SUM(BJ41:BJ44)</f>
        <v>8</v>
      </c>
      <c r="BK46" s="336">
        <f>SUM(BK41:BK44)</f>
        <v>365</v>
      </c>
      <c r="BL46" s="336">
        <f>SUM(BL41:BL44)</f>
        <v>493</v>
      </c>
      <c r="BM46" s="337">
        <f>BL46/BC46%</f>
        <v>25.412371134020621</v>
      </c>
    </row>
    <row r="49" spans="1:65" ht="33.75" customHeight="1" x14ac:dyDescent="0.25">
      <c r="A49" s="328" t="s">
        <v>204</v>
      </c>
      <c r="B49" s="420" t="s">
        <v>100</v>
      </c>
      <c r="C49" s="422" t="s">
        <v>101</v>
      </c>
      <c r="D49" s="424" t="s">
        <v>236</v>
      </c>
      <c r="E49" s="426"/>
      <c r="F49" s="425"/>
      <c r="G49" s="424" t="s">
        <v>240</v>
      </c>
      <c r="H49" s="426"/>
      <c r="I49" s="426"/>
      <c r="J49" s="426"/>
      <c r="K49" s="425"/>
      <c r="L49" s="427" t="s">
        <v>239</v>
      </c>
      <c r="M49" s="428"/>
      <c r="N49" s="339" t="s">
        <v>19</v>
      </c>
      <c r="O49" s="420" t="s">
        <v>100</v>
      </c>
      <c r="P49" s="422" t="s">
        <v>101</v>
      </c>
      <c r="Q49" s="424" t="s">
        <v>236</v>
      </c>
      <c r="R49" s="426"/>
      <c r="S49" s="425"/>
      <c r="T49" s="424" t="s">
        <v>240</v>
      </c>
      <c r="U49" s="426"/>
      <c r="V49" s="426"/>
      <c r="W49" s="426"/>
      <c r="X49" s="425"/>
      <c r="Y49" s="427" t="s">
        <v>239</v>
      </c>
      <c r="Z49" s="428"/>
      <c r="AA49" s="339" t="s">
        <v>90</v>
      </c>
      <c r="AB49" s="420" t="s">
        <v>100</v>
      </c>
      <c r="AC49" s="422" t="s">
        <v>101</v>
      </c>
      <c r="AD49" s="424" t="s">
        <v>236</v>
      </c>
      <c r="AE49" s="426"/>
      <c r="AF49" s="425"/>
      <c r="AG49" s="424" t="s">
        <v>240</v>
      </c>
      <c r="AH49" s="426"/>
      <c r="AI49" s="426"/>
      <c r="AJ49" s="426"/>
      <c r="AK49" s="425"/>
      <c r="AL49" s="427" t="s">
        <v>239</v>
      </c>
      <c r="AM49" s="428"/>
      <c r="AN49" s="339" t="s">
        <v>49</v>
      </c>
      <c r="AO49" s="420" t="s">
        <v>100</v>
      </c>
      <c r="AP49" s="422" t="s">
        <v>101</v>
      </c>
      <c r="AQ49" s="424" t="s">
        <v>236</v>
      </c>
      <c r="AR49" s="426"/>
      <c r="AS49" s="425"/>
      <c r="AT49" s="424" t="s">
        <v>240</v>
      </c>
      <c r="AU49" s="426"/>
      <c r="AV49" s="426"/>
      <c r="AW49" s="426"/>
      <c r="AX49" s="425"/>
      <c r="AY49" s="427" t="s">
        <v>239</v>
      </c>
      <c r="AZ49" s="428"/>
      <c r="BA49" s="339" t="s">
        <v>21</v>
      </c>
      <c r="BB49" s="420" t="s">
        <v>100</v>
      </c>
      <c r="BC49" s="422" t="s">
        <v>101</v>
      </c>
      <c r="BD49" s="424" t="s">
        <v>236</v>
      </c>
      <c r="BE49" s="426"/>
      <c r="BF49" s="425"/>
      <c r="BG49" s="424" t="s">
        <v>240</v>
      </c>
      <c r="BH49" s="426"/>
      <c r="BI49" s="426"/>
      <c r="BJ49" s="426"/>
      <c r="BK49" s="425"/>
      <c r="BL49" s="427" t="s">
        <v>239</v>
      </c>
      <c r="BM49" s="428"/>
    </row>
    <row r="50" spans="1:65" x14ac:dyDescent="0.25">
      <c r="B50" s="421"/>
      <c r="C50" s="423"/>
      <c r="D50" s="327" t="s">
        <v>237</v>
      </c>
      <c r="E50" s="327" t="s">
        <v>238</v>
      </c>
      <c r="F50" s="327" t="s">
        <v>9</v>
      </c>
      <c r="G50" s="327" t="s">
        <v>19</v>
      </c>
      <c r="H50" s="327" t="s">
        <v>90</v>
      </c>
      <c r="I50" s="327" t="s">
        <v>49</v>
      </c>
      <c r="J50" s="327" t="s">
        <v>21</v>
      </c>
      <c r="K50" s="321" t="s">
        <v>102</v>
      </c>
      <c r="L50" s="322" t="s">
        <v>46</v>
      </c>
      <c r="M50" s="321" t="s">
        <v>22</v>
      </c>
      <c r="O50" s="421"/>
      <c r="P50" s="423"/>
      <c r="Q50" s="327" t="s">
        <v>237</v>
      </c>
      <c r="R50" s="327" t="s">
        <v>238</v>
      </c>
      <c r="S50" s="327" t="s">
        <v>9</v>
      </c>
      <c r="T50" s="327" t="s">
        <v>18</v>
      </c>
      <c r="U50" s="327" t="s">
        <v>90</v>
      </c>
      <c r="V50" s="327" t="s">
        <v>49</v>
      </c>
      <c r="W50" s="327" t="s">
        <v>21</v>
      </c>
      <c r="X50" s="321" t="s">
        <v>102</v>
      </c>
      <c r="Y50" s="322" t="s">
        <v>46</v>
      </c>
      <c r="Z50" s="321" t="s">
        <v>22</v>
      </c>
      <c r="AB50" s="421"/>
      <c r="AC50" s="423"/>
      <c r="AD50" s="327" t="s">
        <v>237</v>
      </c>
      <c r="AE50" s="327" t="s">
        <v>238</v>
      </c>
      <c r="AF50" s="327" t="s">
        <v>9</v>
      </c>
      <c r="AG50" s="327" t="s">
        <v>18</v>
      </c>
      <c r="AH50" s="327" t="s">
        <v>19</v>
      </c>
      <c r="AI50" s="327" t="s">
        <v>49</v>
      </c>
      <c r="AJ50" s="327" t="s">
        <v>21</v>
      </c>
      <c r="AK50" s="321" t="s">
        <v>102</v>
      </c>
      <c r="AL50" s="322" t="s">
        <v>9</v>
      </c>
      <c r="AM50" s="321" t="s">
        <v>22</v>
      </c>
      <c r="AO50" s="421"/>
      <c r="AP50" s="423"/>
      <c r="AQ50" s="327" t="s">
        <v>237</v>
      </c>
      <c r="AR50" s="327" t="s">
        <v>238</v>
      </c>
      <c r="AS50" s="327" t="s">
        <v>9</v>
      </c>
      <c r="AT50" s="327" t="s">
        <v>18</v>
      </c>
      <c r="AU50" s="327" t="s">
        <v>19</v>
      </c>
      <c r="AV50" s="327" t="s">
        <v>90</v>
      </c>
      <c r="AW50" s="327" t="s">
        <v>21</v>
      </c>
      <c r="AX50" s="321" t="s">
        <v>102</v>
      </c>
      <c r="AY50" s="322" t="s">
        <v>9</v>
      </c>
      <c r="AZ50" s="321" t="s">
        <v>22</v>
      </c>
      <c r="BB50" s="421"/>
      <c r="BC50" s="423"/>
      <c r="BD50" s="327" t="s">
        <v>237</v>
      </c>
      <c r="BE50" s="327" t="s">
        <v>238</v>
      </c>
      <c r="BF50" s="327" t="s">
        <v>9</v>
      </c>
      <c r="BG50" s="327" t="s">
        <v>18</v>
      </c>
      <c r="BH50" s="327" t="s">
        <v>19</v>
      </c>
      <c r="BI50" s="327" t="s">
        <v>90</v>
      </c>
      <c r="BJ50" s="327" t="s">
        <v>49</v>
      </c>
      <c r="BK50" s="321" t="s">
        <v>102</v>
      </c>
      <c r="BL50" s="322" t="s">
        <v>9</v>
      </c>
      <c r="BM50" s="321" t="s">
        <v>22</v>
      </c>
    </row>
    <row r="51" spans="1:65" x14ac:dyDescent="0.25">
      <c r="B51" s="323"/>
      <c r="C51" s="323"/>
      <c r="D51" s="323"/>
      <c r="E51" s="323"/>
      <c r="F51" s="323"/>
      <c r="G51" s="323"/>
      <c r="H51" s="323"/>
      <c r="I51" s="323"/>
      <c r="J51" s="323"/>
      <c r="K51" s="324"/>
      <c r="L51" s="323"/>
      <c r="M51" s="324"/>
      <c r="O51" s="323"/>
      <c r="P51" s="323"/>
      <c r="Q51" s="323"/>
      <c r="R51" s="323"/>
      <c r="S51" s="323"/>
      <c r="T51" s="323"/>
      <c r="U51" s="323"/>
      <c r="V51" s="323"/>
      <c r="W51" s="323"/>
      <c r="X51" s="324"/>
      <c r="Y51" s="323"/>
      <c r="Z51" s="324"/>
      <c r="AB51" s="338"/>
      <c r="AC51" s="338"/>
      <c r="AD51" s="338"/>
      <c r="AE51" s="338"/>
      <c r="AF51" s="338"/>
      <c r="AG51" s="338"/>
      <c r="AH51" s="338"/>
      <c r="AI51" s="338"/>
      <c r="AJ51" s="338"/>
      <c r="AK51" s="343"/>
      <c r="AL51" s="338"/>
      <c r="AM51" s="343"/>
      <c r="AO51" s="323"/>
      <c r="AP51" s="323"/>
      <c r="AQ51" s="323"/>
      <c r="AR51" s="323"/>
      <c r="AS51" s="323"/>
      <c r="AT51" s="323"/>
      <c r="AU51" s="323"/>
      <c r="AV51" s="323"/>
      <c r="AW51" s="323"/>
      <c r="AX51" s="324"/>
      <c r="AY51" s="323"/>
      <c r="AZ51" s="324"/>
      <c r="BB51" s="323"/>
      <c r="BC51" s="323"/>
      <c r="BD51" s="323"/>
      <c r="BE51" s="323"/>
      <c r="BF51" s="323"/>
      <c r="BG51" s="323"/>
      <c r="BH51" s="323"/>
      <c r="BI51" s="323"/>
      <c r="BJ51" s="323"/>
      <c r="BK51" s="324"/>
      <c r="BL51" s="323"/>
      <c r="BM51" s="324"/>
    </row>
    <row r="52" spans="1:65" x14ac:dyDescent="0.25">
      <c r="B52" s="323" t="s">
        <v>205</v>
      </c>
      <c r="C52" s="330">
        <f t="shared" ref="C52:C58" si="77">F52+L52</f>
        <v>1821</v>
      </c>
      <c r="D52" s="330">
        <v>452</v>
      </c>
      <c r="E52" s="330">
        <v>584</v>
      </c>
      <c r="F52" s="330">
        <f>SUM(D52:E52)</f>
        <v>1036</v>
      </c>
      <c r="G52" s="330">
        <v>117</v>
      </c>
      <c r="H52" s="330">
        <v>42</v>
      </c>
      <c r="I52" s="330">
        <v>47</v>
      </c>
      <c r="J52" s="330">
        <v>124</v>
      </c>
      <c r="K52" s="331">
        <v>455</v>
      </c>
      <c r="L52" s="330">
        <f>SUM(G52:K52)</f>
        <v>785</v>
      </c>
      <c r="M52" s="332">
        <f>L52/C52%</f>
        <v>43.108182317408016</v>
      </c>
      <c r="O52" s="323" t="s">
        <v>212</v>
      </c>
      <c r="P52" s="330">
        <f t="shared" ref="P52:P57" si="78">S52+Y52</f>
        <v>1050</v>
      </c>
      <c r="Q52" s="330">
        <v>206</v>
      </c>
      <c r="R52" s="330">
        <v>243</v>
      </c>
      <c r="S52" s="330">
        <f>SUM(Q52:R52)</f>
        <v>449</v>
      </c>
      <c r="T52" s="330">
        <v>175</v>
      </c>
      <c r="U52" s="330">
        <v>28</v>
      </c>
      <c r="V52" s="330">
        <v>11</v>
      </c>
      <c r="W52" s="330">
        <v>55</v>
      </c>
      <c r="X52" s="331">
        <v>332</v>
      </c>
      <c r="Y52" s="330">
        <f>SUM(T52:X52)</f>
        <v>601</v>
      </c>
      <c r="Z52" s="332">
        <f>Y52/P52%</f>
        <v>57.238095238095241</v>
      </c>
      <c r="AB52" s="341" t="s">
        <v>218</v>
      </c>
      <c r="AC52" s="330">
        <f t="shared" ref="AC52:AC54" si="79">AF52+AL52</f>
        <v>281</v>
      </c>
      <c r="AD52" s="330">
        <v>62</v>
      </c>
      <c r="AE52" s="330">
        <v>92</v>
      </c>
      <c r="AF52" s="330">
        <f>SUM(AD52:AE52)</f>
        <v>154</v>
      </c>
      <c r="AG52" s="330">
        <v>29</v>
      </c>
      <c r="AH52" s="330">
        <v>28</v>
      </c>
      <c r="AI52" s="330">
        <v>11</v>
      </c>
      <c r="AJ52" s="330">
        <v>0</v>
      </c>
      <c r="AK52" s="331">
        <v>59</v>
      </c>
      <c r="AL52" s="330">
        <f>SUM(AG52:AK52)</f>
        <v>127</v>
      </c>
      <c r="AM52" s="332">
        <f>AL52/AC52%</f>
        <v>45.195729537366546</v>
      </c>
      <c r="AO52" s="325" t="s">
        <v>221</v>
      </c>
      <c r="AP52" s="333">
        <f t="shared" ref="AP52:AP58" si="80">AS52+AY52</f>
        <v>683</v>
      </c>
      <c r="AQ52" s="333">
        <v>250</v>
      </c>
      <c r="AR52" s="333">
        <v>116</v>
      </c>
      <c r="AS52" s="333">
        <f>SUM(AQ52:AR52)</f>
        <v>366</v>
      </c>
      <c r="AT52" s="333">
        <v>91</v>
      </c>
      <c r="AU52" s="333">
        <v>18</v>
      </c>
      <c r="AV52" s="333">
        <v>17</v>
      </c>
      <c r="AW52" s="333">
        <v>13</v>
      </c>
      <c r="AX52" s="340">
        <v>178</v>
      </c>
      <c r="AY52" s="333">
        <f>SUM(AT52:AX52)</f>
        <v>317</v>
      </c>
      <c r="AZ52" s="346">
        <f t="shared" ref="AZ52:AZ58" si="81">AY52/AP52%</f>
        <v>46.412884333821374</v>
      </c>
      <c r="BB52" s="323" t="s">
        <v>228</v>
      </c>
      <c r="BC52" s="330">
        <f t="shared" ref="BC52:BC57" si="82">BF52+BL52</f>
        <v>954</v>
      </c>
      <c r="BD52" s="330">
        <v>492</v>
      </c>
      <c r="BE52" s="330">
        <v>254</v>
      </c>
      <c r="BF52" s="330">
        <f>SUM(BD52:BE52)</f>
        <v>746</v>
      </c>
      <c r="BG52" s="330">
        <v>40</v>
      </c>
      <c r="BH52" s="330">
        <v>21</v>
      </c>
      <c r="BI52" s="330">
        <v>3</v>
      </c>
      <c r="BJ52" s="330">
        <v>0</v>
      </c>
      <c r="BK52" s="331">
        <v>144</v>
      </c>
      <c r="BL52" s="330">
        <f>SUM(BG52:BK52)</f>
        <v>208</v>
      </c>
      <c r="BM52" s="332">
        <f>BL52/BC52%</f>
        <v>21.802935010482184</v>
      </c>
    </row>
    <row r="53" spans="1:65" x14ac:dyDescent="0.25">
      <c r="B53" s="323" t="s">
        <v>206</v>
      </c>
      <c r="C53" s="330">
        <f t="shared" si="77"/>
        <v>1291</v>
      </c>
      <c r="D53" s="330">
        <v>452</v>
      </c>
      <c r="E53" s="330">
        <v>436</v>
      </c>
      <c r="F53" s="330">
        <f t="shared" ref="F53:F58" si="83">SUM(D53:E53)</f>
        <v>888</v>
      </c>
      <c r="G53" s="330">
        <v>69</v>
      </c>
      <c r="H53" s="330">
        <v>25</v>
      </c>
      <c r="I53" s="330">
        <v>33</v>
      </c>
      <c r="J53" s="330">
        <v>45</v>
      </c>
      <c r="K53" s="331">
        <v>231</v>
      </c>
      <c r="L53" s="330">
        <f t="shared" ref="L53:L58" si="84">SUM(G53:K53)</f>
        <v>403</v>
      </c>
      <c r="M53" s="332">
        <f t="shared" ref="M53:M58" si="85">L53/C53%</f>
        <v>31.216111541440743</v>
      </c>
      <c r="O53" s="325" t="s">
        <v>213</v>
      </c>
      <c r="P53" s="333">
        <f t="shared" si="78"/>
        <v>914</v>
      </c>
      <c r="Q53" s="333">
        <v>206</v>
      </c>
      <c r="R53" s="333">
        <v>250</v>
      </c>
      <c r="S53" s="333">
        <f t="shared" ref="S53:S57" si="86">SUM(Q53:R53)</f>
        <v>456</v>
      </c>
      <c r="T53" s="333">
        <v>136</v>
      </c>
      <c r="U53" s="333">
        <v>14</v>
      </c>
      <c r="V53" s="333">
        <v>7</v>
      </c>
      <c r="W53" s="333">
        <v>59</v>
      </c>
      <c r="X53" s="340">
        <v>242</v>
      </c>
      <c r="Y53" s="333">
        <f t="shared" ref="Y53:Y57" si="87">SUM(T53:X53)</f>
        <v>458</v>
      </c>
      <c r="Z53" s="346">
        <f t="shared" ref="Z53:Z57" si="88">Y53/P53%</f>
        <v>50.109409190371991</v>
      </c>
      <c r="AB53" s="323" t="s">
        <v>219</v>
      </c>
      <c r="AC53" s="330">
        <f t="shared" si="79"/>
        <v>246</v>
      </c>
      <c r="AD53" s="330">
        <v>62</v>
      </c>
      <c r="AE53" s="330">
        <v>86</v>
      </c>
      <c r="AF53" s="330">
        <f t="shared" ref="AF53:AF54" si="89">SUM(AD53:AE53)</f>
        <v>148</v>
      </c>
      <c r="AG53" s="330">
        <v>9</v>
      </c>
      <c r="AH53" s="330">
        <v>11</v>
      </c>
      <c r="AI53" s="330">
        <v>11</v>
      </c>
      <c r="AJ53" s="330">
        <v>7</v>
      </c>
      <c r="AK53" s="331">
        <v>60</v>
      </c>
      <c r="AL53" s="330">
        <f t="shared" ref="AL53:AL54" si="90">SUM(AG53:AK53)</f>
        <v>98</v>
      </c>
      <c r="AM53" s="332">
        <f>AL53/AC53%</f>
        <v>39.837398373983739</v>
      </c>
      <c r="AO53" s="323" t="s">
        <v>222</v>
      </c>
      <c r="AP53" s="330">
        <f t="shared" si="80"/>
        <v>387</v>
      </c>
      <c r="AQ53" s="330">
        <v>250</v>
      </c>
      <c r="AR53" s="330">
        <v>61</v>
      </c>
      <c r="AS53" s="330">
        <f>SUM(AQ53:AR53)</f>
        <v>311</v>
      </c>
      <c r="AT53" s="330">
        <v>11</v>
      </c>
      <c r="AU53" s="330">
        <v>2</v>
      </c>
      <c r="AV53" s="330">
        <v>15</v>
      </c>
      <c r="AW53" s="330">
        <v>1</v>
      </c>
      <c r="AX53" s="331">
        <v>47</v>
      </c>
      <c r="AY53" s="330">
        <f t="shared" ref="AY53:AY58" si="91">SUM(AT53:AX53)</f>
        <v>76</v>
      </c>
      <c r="AZ53" s="332">
        <f t="shared" si="81"/>
        <v>19.638242894056848</v>
      </c>
      <c r="BB53" s="325" t="s">
        <v>229</v>
      </c>
      <c r="BC53" s="333">
        <f t="shared" si="82"/>
        <v>881</v>
      </c>
      <c r="BD53" s="333">
        <v>492</v>
      </c>
      <c r="BE53" s="333">
        <v>223</v>
      </c>
      <c r="BF53" s="333">
        <f t="shared" ref="BF53:BF57" si="92">SUM(BD53:BE53)</f>
        <v>715</v>
      </c>
      <c r="BG53" s="333">
        <v>38</v>
      </c>
      <c r="BH53" s="333">
        <v>17</v>
      </c>
      <c r="BI53" s="333">
        <v>1</v>
      </c>
      <c r="BJ53" s="333">
        <v>4</v>
      </c>
      <c r="BK53" s="340">
        <v>106</v>
      </c>
      <c r="BL53" s="333">
        <f t="shared" ref="BL53:BL57" si="93">SUM(BG53:BK53)</f>
        <v>166</v>
      </c>
      <c r="BM53" s="346">
        <f t="shared" ref="BM53:BM57" si="94">BL53/BC53%</f>
        <v>18.842224744608398</v>
      </c>
    </row>
    <row r="54" spans="1:65" x14ac:dyDescent="0.25">
      <c r="B54" s="323" t="s">
        <v>207</v>
      </c>
      <c r="C54" s="330">
        <f t="shared" si="77"/>
        <v>840</v>
      </c>
      <c r="D54" s="330">
        <v>226</v>
      </c>
      <c r="E54" s="330">
        <v>322</v>
      </c>
      <c r="F54" s="330">
        <f t="shared" si="83"/>
        <v>548</v>
      </c>
      <c r="G54" s="330">
        <v>50</v>
      </c>
      <c r="H54" s="330">
        <v>9</v>
      </c>
      <c r="I54" s="330">
        <v>10</v>
      </c>
      <c r="J54" s="330">
        <v>44</v>
      </c>
      <c r="K54" s="330">
        <v>179</v>
      </c>
      <c r="L54" s="330">
        <f t="shared" si="84"/>
        <v>292</v>
      </c>
      <c r="M54" s="347">
        <f t="shared" si="85"/>
        <v>34.761904761904759</v>
      </c>
      <c r="O54" s="323" t="s">
        <v>214</v>
      </c>
      <c r="P54" s="330">
        <f t="shared" si="78"/>
        <v>556</v>
      </c>
      <c r="Q54" s="330">
        <v>206</v>
      </c>
      <c r="R54" s="330">
        <v>155</v>
      </c>
      <c r="S54" s="330">
        <f t="shared" si="86"/>
        <v>361</v>
      </c>
      <c r="T54" s="330">
        <v>43</v>
      </c>
      <c r="U54" s="330">
        <v>4</v>
      </c>
      <c r="V54" s="330">
        <v>2</v>
      </c>
      <c r="W54" s="330">
        <v>19</v>
      </c>
      <c r="X54" s="330">
        <v>127</v>
      </c>
      <c r="Y54" s="330">
        <f t="shared" si="87"/>
        <v>195</v>
      </c>
      <c r="Z54" s="347">
        <f t="shared" si="88"/>
        <v>35.071942446043167</v>
      </c>
      <c r="AB54" s="323" t="s">
        <v>220</v>
      </c>
      <c r="AC54" s="330">
        <f t="shared" si="79"/>
        <v>197</v>
      </c>
      <c r="AD54" s="330">
        <v>31</v>
      </c>
      <c r="AE54" s="330">
        <v>56</v>
      </c>
      <c r="AF54" s="330">
        <f t="shared" si="89"/>
        <v>87</v>
      </c>
      <c r="AG54" s="330">
        <v>19</v>
      </c>
      <c r="AH54" s="330">
        <v>3</v>
      </c>
      <c r="AI54" s="330">
        <v>23</v>
      </c>
      <c r="AJ54" s="330">
        <v>4</v>
      </c>
      <c r="AK54" s="330">
        <v>61</v>
      </c>
      <c r="AL54" s="330">
        <f t="shared" si="90"/>
        <v>110</v>
      </c>
      <c r="AM54" s="347">
        <f>AL54/AC54%</f>
        <v>55.837563451776653</v>
      </c>
      <c r="AO54" s="323" t="s">
        <v>223</v>
      </c>
      <c r="AP54" s="330">
        <f t="shared" si="80"/>
        <v>305</v>
      </c>
      <c r="AQ54" s="330">
        <v>125</v>
      </c>
      <c r="AR54" s="330">
        <v>65</v>
      </c>
      <c r="AS54" s="330">
        <f t="shared" ref="AS54:AS58" si="95">SUM(AQ54:AR54)</f>
        <v>190</v>
      </c>
      <c r="AT54" s="330">
        <v>19</v>
      </c>
      <c r="AU54" s="330">
        <v>9</v>
      </c>
      <c r="AV54" s="330">
        <v>22</v>
      </c>
      <c r="AW54" s="330">
        <v>5</v>
      </c>
      <c r="AX54" s="330">
        <v>60</v>
      </c>
      <c r="AY54" s="330">
        <f t="shared" si="91"/>
        <v>115</v>
      </c>
      <c r="AZ54" s="347">
        <f t="shared" si="81"/>
        <v>37.704918032786885</v>
      </c>
      <c r="BB54" s="323" t="s">
        <v>230</v>
      </c>
      <c r="BC54" s="330">
        <f t="shared" si="82"/>
        <v>845</v>
      </c>
      <c r="BD54" s="330">
        <v>492</v>
      </c>
      <c r="BE54" s="330">
        <v>174</v>
      </c>
      <c r="BF54" s="330">
        <f t="shared" si="92"/>
        <v>666</v>
      </c>
      <c r="BG54" s="330">
        <v>35</v>
      </c>
      <c r="BH54" s="330">
        <v>23</v>
      </c>
      <c r="BI54" s="330">
        <v>4</v>
      </c>
      <c r="BJ54" s="330">
        <v>5</v>
      </c>
      <c r="BK54" s="330">
        <v>112</v>
      </c>
      <c r="BL54" s="330">
        <f t="shared" si="93"/>
        <v>179</v>
      </c>
      <c r="BM54" s="347">
        <f t="shared" si="94"/>
        <v>21.183431952662723</v>
      </c>
    </row>
    <row r="55" spans="1:65" x14ac:dyDescent="0.25">
      <c r="B55" s="325" t="s">
        <v>208</v>
      </c>
      <c r="C55" s="333">
        <f t="shared" si="77"/>
        <v>596</v>
      </c>
      <c r="D55" s="333">
        <v>226</v>
      </c>
      <c r="E55" s="333">
        <v>242</v>
      </c>
      <c r="F55" s="333">
        <f t="shared" si="83"/>
        <v>468</v>
      </c>
      <c r="G55" s="333">
        <v>31</v>
      </c>
      <c r="H55" s="333">
        <v>4</v>
      </c>
      <c r="I55" s="333">
        <v>8</v>
      </c>
      <c r="J55" s="333">
        <v>16</v>
      </c>
      <c r="K55" s="333">
        <v>69</v>
      </c>
      <c r="L55" s="333">
        <f t="shared" si="84"/>
        <v>128</v>
      </c>
      <c r="M55" s="346">
        <f t="shared" si="85"/>
        <v>21.476510067114095</v>
      </c>
      <c r="O55" s="323" t="s">
        <v>215</v>
      </c>
      <c r="P55" s="330">
        <f t="shared" si="78"/>
        <v>283</v>
      </c>
      <c r="Q55" s="330">
        <v>103</v>
      </c>
      <c r="R55" s="330">
        <v>63</v>
      </c>
      <c r="S55" s="330">
        <f t="shared" si="86"/>
        <v>166</v>
      </c>
      <c r="T55" s="330">
        <v>26</v>
      </c>
      <c r="U55" s="330">
        <v>1</v>
      </c>
      <c r="V55" s="330">
        <v>1</v>
      </c>
      <c r="W55" s="330">
        <v>11</v>
      </c>
      <c r="X55" s="330">
        <v>78</v>
      </c>
      <c r="Y55" s="330">
        <f t="shared" si="87"/>
        <v>117</v>
      </c>
      <c r="Z55" s="332">
        <f t="shared" si="88"/>
        <v>41.342756183745585</v>
      </c>
      <c r="AB55" s="323"/>
      <c r="AC55" s="330"/>
      <c r="AD55" s="330"/>
      <c r="AE55" s="330"/>
      <c r="AF55" s="330"/>
      <c r="AG55" s="330"/>
      <c r="AH55" s="330"/>
      <c r="AI55" s="330"/>
      <c r="AJ55" s="330"/>
      <c r="AK55" s="331"/>
      <c r="AL55" s="330"/>
      <c r="AM55" s="332"/>
      <c r="AO55" s="323" t="s">
        <v>224</v>
      </c>
      <c r="AP55" s="330">
        <f t="shared" si="80"/>
        <v>249</v>
      </c>
      <c r="AQ55" s="330">
        <v>125</v>
      </c>
      <c r="AR55" s="330">
        <v>36</v>
      </c>
      <c r="AS55" s="330">
        <f t="shared" si="95"/>
        <v>161</v>
      </c>
      <c r="AT55" s="330">
        <v>19</v>
      </c>
      <c r="AU55" s="330">
        <v>3</v>
      </c>
      <c r="AV55" s="330">
        <v>7</v>
      </c>
      <c r="AW55" s="330">
        <v>1</v>
      </c>
      <c r="AX55" s="330">
        <v>58</v>
      </c>
      <c r="AY55" s="330">
        <f t="shared" si="91"/>
        <v>88</v>
      </c>
      <c r="AZ55" s="332">
        <f t="shared" si="81"/>
        <v>35.341365461847388</v>
      </c>
      <c r="BB55" s="323" t="s">
        <v>231</v>
      </c>
      <c r="BC55" s="330">
        <f t="shared" si="82"/>
        <v>490</v>
      </c>
      <c r="BD55" s="330">
        <v>246</v>
      </c>
      <c r="BE55" s="330">
        <v>125</v>
      </c>
      <c r="BF55" s="330">
        <f t="shared" si="92"/>
        <v>371</v>
      </c>
      <c r="BG55" s="330">
        <v>27</v>
      </c>
      <c r="BH55" s="330">
        <v>13</v>
      </c>
      <c r="BI55" s="330">
        <v>2</v>
      </c>
      <c r="BJ55" s="330">
        <v>3</v>
      </c>
      <c r="BK55" s="330">
        <v>74</v>
      </c>
      <c r="BL55" s="330">
        <f t="shared" si="93"/>
        <v>119</v>
      </c>
      <c r="BM55" s="332">
        <f t="shared" si="94"/>
        <v>24.285714285714285</v>
      </c>
    </row>
    <row r="56" spans="1:65" x14ac:dyDescent="0.25">
      <c r="B56" s="323" t="s">
        <v>209</v>
      </c>
      <c r="C56" s="330">
        <f t="shared" si="77"/>
        <v>531</v>
      </c>
      <c r="D56" s="330">
        <v>226</v>
      </c>
      <c r="E56" s="330">
        <v>147</v>
      </c>
      <c r="F56" s="330">
        <f t="shared" si="83"/>
        <v>373</v>
      </c>
      <c r="G56" s="330">
        <v>30</v>
      </c>
      <c r="H56" s="330">
        <v>6</v>
      </c>
      <c r="I56" s="330">
        <v>6</v>
      </c>
      <c r="J56" s="330">
        <v>23</v>
      </c>
      <c r="K56" s="331">
        <v>93</v>
      </c>
      <c r="L56" s="330">
        <f t="shared" si="84"/>
        <v>158</v>
      </c>
      <c r="M56" s="332">
        <f t="shared" si="85"/>
        <v>29.755178907721284</v>
      </c>
      <c r="O56" s="323" t="s">
        <v>216</v>
      </c>
      <c r="P56" s="330">
        <f t="shared" si="78"/>
        <v>279</v>
      </c>
      <c r="Q56" s="330">
        <v>103</v>
      </c>
      <c r="R56" s="330">
        <v>76</v>
      </c>
      <c r="S56" s="330">
        <f t="shared" si="86"/>
        <v>179</v>
      </c>
      <c r="T56" s="330">
        <v>28</v>
      </c>
      <c r="U56" s="330">
        <v>3</v>
      </c>
      <c r="V56" s="330">
        <v>0</v>
      </c>
      <c r="W56" s="330">
        <v>11</v>
      </c>
      <c r="X56" s="331">
        <v>58</v>
      </c>
      <c r="Y56" s="330">
        <f t="shared" si="87"/>
        <v>100</v>
      </c>
      <c r="Z56" s="332">
        <f t="shared" si="88"/>
        <v>35.842293906810035</v>
      </c>
      <c r="AB56" s="326" t="s">
        <v>9</v>
      </c>
      <c r="AC56" s="336">
        <f>SUM(AC52:AC54)</f>
        <v>724</v>
      </c>
      <c r="AD56" s="336">
        <f>SUM(AD52:AD55)</f>
        <v>155</v>
      </c>
      <c r="AE56" s="336">
        <f t="shared" ref="AE56:AF56" si="96">SUM(AE52:AE55)</f>
        <v>234</v>
      </c>
      <c r="AF56" s="336">
        <f t="shared" si="96"/>
        <v>389</v>
      </c>
      <c r="AG56" s="336">
        <f t="shared" ref="AG56:AL56" si="97">SUM(AG52:AG54)</f>
        <v>57</v>
      </c>
      <c r="AH56" s="336">
        <f t="shared" si="97"/>
        <v>42</v>
      </c>
      <c r="AI56" s="336">
        <f t="shared" si="97"/>
        <v>45</v>
      </c>
      <c r="AJ56" s="336">
        <f t="shared" si="97"/>
        <v>11</v>
      </c>
      <c r="AK56" s="336">
        <f t="shared" si="97"/>
        <v>180</v>
      </c>
      <c r="AL56" s="336">
        <f t="shared" si="97"/>
        <v>335</v>
      </c>
      <c r="AM56" s="337">
        <f>AL56/AC56%</f>
        <v>46.270718232044196</v>
      </c>
      <c r="AO56" s="323" t="s">
        <v>225</v>
      </c>
      <c r="AP56" s="330">
        <f t="shared" si="80"/>
        <v>234</v>
      </c>
      <c r="AQ56" s="330">
        <v>125</v>
      </c>
      <c r="AR56" s="330">
        <v>35</v>
      </c>
      <c r="AS56" s="330">
        <f t="shared" si="95"/>
        <v>160</v>
      </c>
      <c r="AT56" s="330">
        <v>9</v>
      </c>
      <c r="AU56" s="330">
        <v>9</v>
      </c>
      <c r="AV56" s="330">
        <v>12</v>
      </c>
      <c r="AW56" s="330">
        <v>4</v>
      </c>
      <c r="AX56" s="331">
        <v>40</v>
      </c>
      <c r="AY56" s="330">
        <f t="shared" si="91"/>
        <v>74</v>
      </c>
      <c r="AZ56" s="332">
        <f t="shared" si="81"/>
        <v>31.623931623931625</v>
      </c>
      <c r="BB56" s="323" t="s">
        <v>232</v>
      </c>
      <c r="BC56" s="330">
        <f t="shared" si="82"/>
        <v>391</v>
      </c>
      <c r="BD56" s="330">
        <v>246</v>
      </c>
      <c r="BE56" s="330">
        <v>95</v>
      </c>
      <c r="BF56" s="330">
        <f t="shared" si="92"/>
        <v>341</v>
      </c>
      <c r="BG56" s="330">
        <v>9</v>
      </c>
      <c r="BH56" s="330">
        <v>2</v>
      </c>
      <c r="BI56" s="330">
        <v>1</v>
      </c>
      <c r="BJ56" s="330">
        <v>2</v>
      </c>
      <c r="BK56" s="331">
        <v>36</v>
      </c>
      <c r="BL56" s="330">
        <f t="shared" si="93"/>
        <v>50</v>
      </c>
      <c r="BM56" s="332">
        <f t="shared" si="94"/>
        <v>12.787723785166239</v>
      </c>
    </row>
    <row r="57" spans="1:65" x14ac:dyDescent="0.25">
      <c r="B57" s="323" t="s">
        <v>210</v>
      </c>
      <c r="C57" s="330">
        <f t="shared" si="77"/>
        <v>477</v>
      </c>
      <c r="D57" s="330">
        <v>226</v>
      </c>
      <c r="E57" s="330">
        <v>144</v>
      </c>
      <c r="F57" s="330">
        <f t="shared" si="83"/>
        <v>370</v>
      </c>
      <c r="G57" s="330">
        <v>11</v>
      </c>
      <c r="H57" s="330">
        <v>6</v>
      </c>
      <c r="I57" s="330">
        <v>1</v>
      </c>
      <c r="J57" s="330">
        <v>7</v>
      </c>
      <c r="K57" s="331">
        <v>82</v>
      </c>
      <c r="L57" s="330">
        <f t="shared" si="84"/>
        <v>107</v>
      </c>
      <c r="M57" s="332">
        <f t="shared" si="85"/>
        <v>22.431865828092246</v>
      </c>
      <c r="O57" s="323" t="s">
        <v>217</v>
      </c>
      <c r="P57" s="330">
        <f t="shared" si="78"/>
        <v>186</v>
      </c>
      <c r="Q57" s="330">
        <v>103</v>
      </c>
      <c r="R57" s="330">
        <v>53</v>
      </c>
      <c r="S57" s="330">
        <f t="shared" si="86"/>
        <v>156</v>
      </c>
      <c r="T57" s="330">
        <v>6</v>
      </c>
      <c r="U57" s="330">
        <v>4</v>
      </c>
      <c r="V57" s="330">
        <v>3</v>
      </c>
      <c r="W57" s="330">
        <v>3</v>
      </c>
      <c r="X57" s="331">
        <v>14</v>
      </c>
      <c r="Y57" s="330">
        <f t="shared" si="87"/>
        <v>30</v>
      </c>
      <c r="Z57" s="332">
        <f t="shared" si="88"/>
        <v>16.129032258064516</v>
      </c>
      <c r="AO57" s="323" t="s">
        <v>226</v>
      </c>
      <c r="AP57" s="330">
        <f t="shared" si="80"/>
        <v>221</v>
      </c>
      <c r="AQ57" s="330">
        <v>125</v>
      </c>
      <c r="AR57" s="330">
        <v>51</v>
      </c>
      <c r="AS57" s="330">
        <f t="shared" si="95"/>
        <v>176</v>
      </c>
      <c r="AT57" s="330">
        <v>6</v>
      </c>
      <c r="AU57" s="330">
        <v>2</v>
      </c>
      <c r="AV57" s="330">
        <v>5</v>
      </c>
      <c r="AW57" s="330">
        <v>1</v>
      </c>
      <c r="AX57" s="331">
        <v>31</v>
      </c>
      <c r="AY57" s="330">
        <f t="shared" si="91"/>
        <v>45</v>
      </c>
      <c r="AZ57" s="332">
        <f t="shared" si="81"/>
        <v>20.361990950226243</v>
      </c>
      <c r="BB57" s="323" t="s">
        <v>233</v>
      </c>
      <c r="BC57" s="330">
        <f t="shared" si="82"/>
        <v>360</v>
      </c>
      <c r="BD57" s="330">
        <v>246</v>
      </c>
      <c r="BE57" s="330">
        <v>83</v>
      </c>
      <c r="BF57" s="330">
        <f t="shared" si="92"/>
        <v>329</v>
      </c>
      <c r="BG57" s="330">
        <v>2</v>
      </c>
      <c r="BH57" s="330">
        <v>2</v>
      </c>
      <c r="BI57" s="330">
        <v>0</v>
      </c>
      <c r="BJ57" s="330">
        <v>2</v>
      </c>
      <c r="BK57" s="331">
        <v>25</v>
      </c>
      <c r="BL57" s="330">
        <f t="shared" si="93"/>
        <v>31</v>
      </c>
      <c r="BM57" s="332">
        <f t="shared" si="94"/>
        <v>8.6111111111111107</v>
      </c>
    </row>
    <row r="58" spans="1:65" x14ac:dyDescent="0.25">
      <c r="B58" s="323" t="s">
        <v>211</v>
      </c>
      <c r="C58" s="330">
        <f t="shared" si="77"/>
        <v>423</v>
      </c>
      <c r="D58" s="330">
        <v>226</v>
      </c>
      <c r="E58" s="330">
        <v>138</v>
      </c>
      <c r="F58" s="330">
        <f t="shared" si="83"/>
        <v>364</v>
      </c>
      <c r="G58" s="330">
        <v>5</v>
      </c>
      <c r="H58" s="330">
        <v>3</v>
      </c>
      <c r="I58" s="330">
        <v>1</v>
      </c>
      <c r="J58" s="330">
        <v>5</v>
      </c>
      <c r="K58" s="331">
        <v>45</v>
      </c>
      <c r="L58" s="330">
        <f t="shared" si="84"/>
        <v>59</v>
      </c>
      <c r="M58" s="332">
        <f t="shared" si="85"/>
        <v>13.947990543735223</v>
      </c>
      <c r="O58" s="323"/>
      <c r="P58" s="330"/>
      <c r="Q58" s="330"/>
      <c r="R58" s="330"/>
      <c r="S58" s="330"/>
      <c r="T58" s="330"/>
      <c r="U58" s="330"/>
      <c r="V58" s="330"/>
      <c r="W58" s="330"/>
      <c r="X58" s="331"/>
      <c r="Y58" s="330"/>
      <c r="Z58" s="332"/>
      <c r="AO58" s="323" t="s">
        <v>227</v>
      </c>
      <c r="AP58" s="330">
        <f t="shared" si="80"/>
        <v>200</v>
      </c>
      <c r="AQ58" s="330">
        <v>125</v>
      </c>
      <c r="AR58" s="330">
        <v>32</v>
      </c>
      <c r="AS58" s="330">
        <f t="shared" si="95"/>
        <v>157</v>
      </c>
      <c r="AT58" s="330">
        <v>10</v>
      </c>
      <c r="AU58" s="330">
        <v>0</v>
      </c>
      <c r="AV58" s="330">
        <v>2</v>
      </c>
      <c r="AW58" s="330">
        <v>2</v>
      </c>
      <c r="AX58" s="331">
        <v>29</v>
      </c>
      <c r="AY58" s="330">
        <f t="shared" si="91"/>
        <v>43</v>
      </c>
      <c r="AZ58" s="332">
        <f t="shared" si="81"/>
        <v>21.5</v>
      </c>
      <c r="BB58" s="323"/>
      <c r="BC58" s="330"/>
      <c r="BD58" s="330"/>
      <c r="BE58" s="330"/>
      <c r="BF58" s="330"/>
      <c r="BG58" s="330"/>
      <c r="BH58" s="330"/>
      <c r="BI58" s="330"/>
      <c r="BJ58" s="330"/>
      <c r="BK58" s="331"/>
      <c r="BL58" s="330"/>
      <c r="BM58" s="332"/>
    </row>
    <row r="59" spans="1:65" x14ac:dyDescent="0.25">
      <c r="B59" s="323"/>
      <c r="C59" s="330"/>
      <c r="D59" s="330"/>
      <c r="E59" s="330"/>
      <c r="F59" s="330"/>
      <c r="G59" s="330"/>
      <c r="H59" s="330"/>
      <c r="I59" s="330"/>
      <c r="J59" s="330"/>
      <c r="K59" s="331"/>
      <c r="L59" s="330"/>
      <c r="M59" s="332"/>
      <c r="O59" s="326" t="s">
        <v>9</v>
      </c>
      <c r="P59" s="336">
        <f t="shared" ref="P59:Y59" si="98">SUM(P52:P57)</f>
        <v>3268</v>
      </c>
      <c r="Q59" s="336">
        <f>SUM(Q52:Q58)</f>
        <v>927</v>
      </c>
      <c r="R59" s="336">
        <f t="shared" ref="R59:S59" si="99">SUM(R52:R58)</f>
        <v>840</v>
      </c>
      <c r="S59" s="336">
        <f t="shared" si="99"/>
        <v>1767</v>
      </c>
      <c r="T59" s="336">
        <f t="shared" si="98"/>
        <v>414</v>
      </c>
      <c r="U59" s="336">
        <f t="shared" si="98"/>
        <v>54</v>
      </c>
      <c r="V59" s="336">
        <f t="shared" si="98"/>
        <v>24</v>
      </c>
      <c r="W59" s="336">
        <f t="shared" si="98"/>
        <v>158</v>
      </c>
      <c r="X59" s="336">
        <f t="shared" si="98"/>
        <v>851</v>
      </c>
      <c r="Y59" s="336">
        <f t="shared" si="98"/>
        <v>1501</v>
      </c>
      <c r="Z59" s="337">
        <f>Y59/P59%</f>
        <v>45.930232558139537</v>
      </c>
      <c r="AO59" s="323"/>
      <c r="AP59" s="330"/>
      <c r="AQ59" s="330"/>
      <c r="AR59" s="330"/>
      <c r="AS59" s="330"/>
      <c r="AT59" s="330"/>
      <c r="AU59" s="330"/>
      <c r="AV59" s="330"/>
      <c r="AW59" s="330"/>
      <c r="AX59" s="331"/>
      <c r="AY59" s="330"/>
      <c r="AZ59" s="332"/>
      <c r="BB59" s="326" t="s">
        <v>9</v>
      </c>
      <c r="BC59" s="336">
        <f t="shared" ref="BC59:BL59" si="100">SUM(BC52:BC57)</f>
        <v>3921</v>
      </c>
      <c r="BD59" s="336">
        <f t="shared" si="100"/>
        <v>2214</v>
      </c>
      <c r="BE59" s="336">
        <f t="shared" si="100"/>
        <v>954</v>
      </c>
      <c r="BF59" s="336">
        <f t="shared" si="100"/>
        <v>3168</v>
      </c>
      <c r="BG59" s="336">
        <f t="shared" si="100"/>
        <v>151</v>
      </c>
      <c r="BH59" s="336">
        <f t="shared" si="100"/>
        <v>78</v>
      </c>
      <c r="BI59" s="336">
        <f t="shared" si="100"/>
        <v>11</v>
      </c>
      <c r="BJ59" s="336">
        <f t="shared" si="100"/>
        <v>16</v>
      </c>
      <c r="BK59" s="336">
        <f t="shared" si="100"/>
        <v>497</v>
      </c>
      <c r="BL59" s="336">
        <f t="shared" si="100"/>
        <v>753</v>
      </c>
      <c r="BM59" s="337">
        <f>BL59/BC59%</f>
        <v>19.204284621270084</v>
      </c>
    </row>
    <row r="60" spans="1:65" x14ac:dyDescent="0.25">
      <c r="B60" s="326" t="s">
        <v>9</v>
      </c>
      <c r="C60" s="336">
        <f t="shared" ref="C60:L60" si="101">SUM(C52:C58)</f>
        <v>5979</v>
      </c>
      <c r="D60" s="336">
        <f>SUM(D52:D59)</f>
        <v>2034</v>
      </c>
      <c r="E60" s="336">
        <f t="shared" ref="E60:F60" si="102">SUM(E52:E59)</f>
        <v>2013</v>
      </c>
      <c r="F60" s="336">
        <f t="shared" si="102"/>
        <v>4047</v>
      </c>
      <c r="G60" s="336">
        <f t="shared" si="101"/>
        <v>313</v>
      </c>
      <c r="H60" s="336">
        <f t="shared" si="101"/>
        <v>95</v>
      </c>
      <c r="I60" s="336">
        <f t="shared" si="101"/>
        <v>106</v>
      </c>
      <c r="J60" s="336">
        <f t="shared" si="101"/>
        <v>264</v>
      </c>
      <c r="K60" s="336">
        <f t="shared" si="101"/>
        <v>1154</v>
      </c>
      <c r="L60" s="336">
        <f t="shared" si="101"/>
        <v>1932</v>
      </c>
      <c r="M60" s="337">
        <f>L60/C60%</f>
        <v>32.313095835423987</v>
      </c>
      <c r="AO60" s="326" t="s">
        <v>9</v>
      </c>
      <c r="AP60" s="336">
        <f>SUM(AP52:AP58)</f>
        <v>2279</v>
      </c>
      <c r="AQ60" s="336">
        <f t="shared" ref="AQ60:AS60" si="103">SUM(AQ52:AQ58)</f>
        <v>1125</v>
      </c>
      <c r="AR60" s="336">
        <f t="shared" si="103"/>
        <v>396</v>
      </c>
      <c r="AS60" s="336">
        <f t="shared" si="103"/>
        <v>1521</v>
      </c>
      <c r="AT60" s="336">
        <f t="shared" ref="AT60:AY60" si="104">SUM(AT52:AT58)</f>
        <v>165</v>
      </c>
      <c r="AU60" s="336">
        <f t="shared" si="104"/>
        <v>43</v>
      </c>
      <c r="AV60" s="336">
        <f t="shared" si="104"/>
        <v>80</v>
      </c>
      <c r="AW60" s="336">
        <f t="shared" si="104"/>
        <v>27</v>
      </c>
      <c r="AX60" s="336">
        <f t="shared" si="104"/>
        <v>443</v>
      </c>
      <c r="AY60" s="336">
        <f t="shared" si="104"/>
        <v>758</v>
      </c>
      <c r="AZ60" s="337">
        <f>AY60/AP60%</f>
        <v>33.26020184291356</v>
      </c>
    </row>
  </sheetData>
  <mergeCells count="95">
    <mergeCell ref="AL3:AM3"/>
    <mergeCell ref="B3:B4"/>
    <mergeCell ref="C3:C4"/>
    <mergeCell ref="G3:K3"/>
    <mergeCell ref="L3:M3"/>
    <mergeCell ref="O3:O4"/>
    <mergeCell ref="P3:P4"/>
    <mergeCell ref="T3:X3"/>
    <mergeCell ref="Y3:Z3"/>
    <mergeCell ref="AB3:AB4"/>
    <mergeCell ref="AC3:AC4"/>
    <mergeCell ref="AG3:AK3"/>
    <mergeCell ref="D3:F3"/>
    <mergeCell ref="Q3:S3"/>
    <mergeCell ref="AD3:AF3"/>
    <mergeCell ref="BG3:BK3"/>
    <mergeCell ref="BL3:BM3"/>
    <mergeCell ref="B24:B25"/>
    <mergeCell ref="C24:C25"/>
    <mergeCell ref="G24:K24"/>
    <mergeCell ref="L24:M24"/>
    <mergeCell ref="O24:O25"/>
    <mergeCell ref="P24:P25"/>
    <mergeCell ref="T24:X24"/>
    <mergeCell ref="Y24:Z24"/>
    <mergeCell ref="AO3:AO4"/>
    <mergeCell ref="AP3:AP4"/>
    <mergeCell ref="AT3:AX3"/>
    <mergeCell ref="AY3:AZ3"/>
    <mergeCell ref="BB3:BB4"/>
    <mergeCell ref="BC3:BC4"/>
    <mergeCell ref="BL24:BM24"/>
    <mergeCell ref="AB24:AB25"/>
    <mergeCell ref="AC24:AC25"/>
    <mergeCell ref="AG24:AK24"/>
    <mergeCell ref="AL24:AM24"/>
    <mergeCell ref="AO24:AO25"/>
    <mergeCell ref="AP24:AP25"/>
    <mergeCell ref="AT24:AX24"/>
    <mergeCell ref="AY24:AZ24"/>
    <mergeCell ref="BB24:BB25"/>
    <mergeCell ref="BC24:BC25"/>
    <mergeCell ref="BG24:BK24"/>
    <mergeCell ref="AD24:AF24"/>
    <mergeCell ref="B38:B39"/>
    <mergeCell ref="C38:C39"/>
    <mergeCell ref="G38:K38"/>
    <mergeCell ref="L38:M38"/>
    <mergeCell ref="O38:O39"/>
    <mergeCell ref="T49:X49"/>
    <mergeCell ref="Y49:Z49"/>
    <mergeCell ref="AB49:AB50"/>
    <mergeCell ref="AC49:AC50"/>
    <mergeCell ref="AG49:AK49"/>
    <mergeCell ref="AD49:AF49"/>
    <mergeCell ref="BG38:BK38"/>
    <mergeCell ref="BL38:BM38"/>
    <mergeCell ref="AT38:AX38"/>
    <mergeCell ref="AY38:AZ38"/>
    <mergeCell ref="B49:B50"/>
    <mergeCell ref="C49:C50"/>
    <mergeCell ref="G49:K49"/>
    <mergeCell ref="L49:M49"/>
    <mergeCell ref="O49:O50"/>
    <mergeCell ref="P49:P50"/>
    <mergeCell ref="T38:X38"/>
    <mergeCell ref="Y38:Z38"/>
    <mergeCell ref="AO38:AO39"/>
    <mergeCell ref="AP38:AP39"/>
    <mergeCell ref="P38:P39"/>
    <mergeCell ref="AL49:AM49"/>
    <mergeCell ref="BG49:BK49"/>
    <mergeCell ref="BL49:BM49"/>
    <mergeCell ref="AO49:AO50"/>
    <mergeCell ref="AP49:AP50"/>
    <mergeCell ref="AT49:AX49"/>
    <mergeCell ref="AY49:AZ49"/>
    <mergeCell ref="BB49:BB50"/>
    <mergeCell ref="BC49:BC50"/>
    <mergeCell ref="D24:F24"/>
    <mergeCell ref="D38:F38"/>
    <mergeCell ref="D49:F49"/>
    <mergeCell ref="Q49:S49"/>
    <mergeCell ref="Q38:S38"/>
    <mergeCell ref="Q24:S24"/>
    <mergeCell ref="AQ3:AS3"/>
    <mergeCell ref="AQ24:AS24"/>
    <mergeCell ref="AQ38:AS38"/>
    <mergeCell ref="AQ49:AS49"/>
    <mergeCell ref="BD3:BF3"/>
    <mergeCell ref="BD24:BF24"/>
    <mergeCell ref="BD38:BF38"/>
    <mergeCell ref="BD49:BF49"/>
    <mergeCell ref="BB38:BB39"/>
    <mergeCell ref="BC38:BC39"/>
  </mergeCells>
  <pageMargins left="0.7" right="0.7" top="0.78740157499999996" bottom="0.78740157499999996" header="0.3" footer="0.3"/>
  <pageSetup paperSize="9" orientation="portrait" r:id="rId1"/>
  <ignoredErrors>
    <ignoredError sqref="F6:F19 S6:S13 F27:F33 S27:S31 AF6:AF17 AS6:AS14 AF27:AF33 AS27:AS30 BF27:BF30 BF6:BF15 F41:F44 S41:S43 AS41:AS44 BF41:BF44 F52:F58 S52:S57 AF52:AF54 AS52:AS58 BF52:BF57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>
    <tabColor rgb="FFFFC000"/>
  </sheetPr>
  <dimension ref="A1:T16"/>
  <sheetViews>
    <sheetView showGridLines="0" zoomScaleNormal="100" workbookViewId="0">
      <selection activeCell="T7" sqref="T7"/>
    </sheetView>
  </sheetViews>
  <sheetFormatPr defaultColWidth="10.90625" defaultRowHeight="12.5" x14ac:dyDescent="0.25"/>
  <cols>
    <col min="2" max="2" width="4.6328125" customWidth="1"/>
    <col min="3" max="3" width="5.6328125" customWidth="1"/>
    <col min="4" max="4" width="5.36328125" customWidth="1"/>
    <col min="5" max="5" width="5.6328125" customWidth="1"/>
    <col min="6" max="6" width="4.90625" customWidth="1"/>
    <col min="7" max="7" width="5.6328125" customWidth="1"/>
    <col min="8" max="8" width="5.453125" customWidth="1"/>
    <col min="9" max="9" width="5.6328125" customWidth="1"/>
    <col min="10" max="10" width="5.81640625" customWidth="1"/>
    <col min="11" max="11" width="5.6328125" customWidth="1"/>
    <col min="12" max="16" width="6.08984375" style="7" customWidth="1"/>
  </cols>
  <sheetData>
    <row r="1" spans="1:20" s="13" customFormat="1" ht="22.5" customHeight="1" x14ac:dyDescent="0.25">
      <c r="A1" s="434" t="s">
        <v>69</v>
      </c>
      <c r="B1" s="429" t="s">
        <v>68</v>
      </c>
      <c r="C1" s="436"/>
      <c r="D1" s="429" t="s">
        <v>73</v>
      </c>
      <c r="E1" s="436"/>
      <c r="F1" s="429" t="s">
        <v>83</v>
      </c>
      <c r="G1" s="430"/>
      <c r="H1" s="429" t="s">
        <v>87</v>
      </c>
      <c r="I1" s="436"/>
      <c r="J1" s="432" t="s">
        <v>243</v>
      </c>
      <c r="K1" s="433"/>
      <c r="L1" s="429" t="s">
        <v>244</v>
      </c>
      <c r="M1" s="430"/>
      <c r="N1" s="430"/>
      <c r="O1" s="430"/>
      <c r="P1" s="431"/>
    </row>
    <row r="2" spans="1:20" ht="47.25" customHeight="1" x14ac:dyDescent="0.25">
      <c r="A2" s="435"/>
      <c r="B2" s="253" t="s">
        <v>67</v>
      </c>
      <c r="C2" s="254" t="s">
        <v>22</v>
      </c>
      <c r="D2" s="253" t="s">
        <v>67</v>
      </c>
      <c r="E2" s="254" t="s">
        <v>22</v>
      </c>
      <c r="F2" s="253" t="s">
        <v>67</v>
      </c>
      <c r="G2" s="255" t="s">
        <v>22</v>
      </c>
      <c r="H2" s="253" t="s">
        <v>67</v>
      </c>
      <c r="I2" s="254" t="s">
        <v>22</v>
      </c>
      <c r="J2" s="355" t="s">
        <v>67</v>
      </c>
      <c r="K2" s="256" t="s">
        <v>22</v>
      </c>
      <c r="L2" s="281" t="s">
        <v>18</v>
      </c>
      <c r="M2" s="281" t="s">
        <v>19</v>
      </c>
      <c r="N2" s="281" t="s">
        <v>90</v>
      </c>
      <c r="O2" s="281" t="s">
        <v>49</v>
      </c>
      <c r="P2" s="282" t="s">
        <v>21</v>
      </c>
      <c r="Q2" t="str">
        <f>L2</f>
        <v>CVP</v>
      </c>
      <c r="R2" t="str">
        <f>M2</f>
        <v>FDP</v>
      </c>
      <c r="S2" t="str">
        <f t="shared" ref="S2:T2" si="0">O2</f>
        <v>SP/GB</v>
      </c>
      <c r="T2" t="str">
        <f t="shared" si="0"/>
        <v>SVP</v>
      </c>
    </row>
    <row r="3" spans="1:20" ht="6.75" customHeight="1" x14ac:dyDescent="0.25">
      <c r="A3" s="361"/>
      <c r="B3" s="41"/>
      <c r="C3" s="257"/>
      <c r="D3" s="257"/>
      <c r="E3" s="257"/>
      <c r="F3" s="39"/>
      <c r="G3" s="45"/>
      <c r="H3" s="264"/>
      <c r="I3" s="264"/>
      <c r="J3" s="356"/>
      <c r="K3" s="44"/>
      <c r="L3" s="283"/>
      <c r="M3" s="283"/>
      <c r="N3" s="283"/>
      <c r="O3" s="283"/>
      <c r="P3" s="284"/>
    </row>
    <row r="4" spans="1:20" ht="14.5" x14ac:dyDescent="0.25">
      <c r="A4" s="362" t="s">
        <v>70</v>
      </c>
      <c r="B4" s="258">
        <v>26</v>
      </c>
      <c r="C4" s="259">
        <v>40.625</v>
      </c>
      <c r="D4" s="258">
        <v>30</v>
      </c>
      <c r="E4" s="259">
        <v>46.875</v>
      </c>
      <c r="F4" s="260">
        <v>14</v>
      </c>
      <c r="G4" s="261">
        <v>21.875</v>
      </c>
      <c r="H4" s="263">
        <v>24</v>
      </c>
      <c r="I4" s="259">
        <v>37.5</v>
      </c>
      <c r="J4" s="357">
        <f t="shared" ref="J4:J7" si="1">SUM(L4:P4)</f>
        <v>24</v>
      </c>
      <c r="K4" s="262">
        <f t="shared" ref="K4:K7" si="2">J4/64%</f>
        <v>37.5</v>
      </c>
      <c r="L4" s="285">
        <v>8</v>
      </c>
      <c r="M4" s="285">
        <v>3</v>
      </c>
      <c r="N4" s="285">
        <v>3</v>
      </c>
      <c r="O4" s="285">
        <v>3</v>
      </c>
      <c r="P4" s="286">
        <v>7</v>
      </c>
      <c r="Q4" s="249">
        <f>L4/L11</f>
        <v>0.33333333333333331</v>
      </c>
      <c r="R4" s="249">
        <f>M4/M11</f>
        <v>0.23076923076923078</v>
      </c>
      <c r="S4" s="249">
        <f t="shared" ref="S4:T4" si="3">O4/O11</f>
        <v>0.42857142857142855</v>
      </c>
      <c r="T4" s="249">
        <f t="shared" si="3"/>
        <v>0.41176470588235292</v>
      </c>
    </row>
    <row r="5" spans="1:20" ht="14.5" x14ac:dyDescent="0.25">
      <c r="A5" s="362">
        <v>1</v>
      </c>
      <c r="B5" s="258">
        <v>26</v>
      </c>
      <c r="C5" s="259">
        <v>40.625</v>
      </c>
      <c r="D5" s="258">
        <v>23</v>
      </c>
      <c r="E5" s="259">
        <v>35.9375</v>
      </c>
      <c r="F5" s="260">
        <v>34</v>
      </c>
      <c r="G5" s="261">
        <v>53.125</v>
      </c>
      <c r="H5" s="263">
        <v>17</v>
      </c>
      <c r="I5" s="259">
        <v>26.5625</v>
      </c>
      <c r="J5" s="357">
        <f t="shared" si="1"/>
        <v>23</v>
      </c>
      <c r="K5" s="262">
        <f t="shared" si="2"/>
        <v>35.9375</v>
      </c>
      <c r="L5" s="285">
        <v>9</v>
      </c>
      <c r="M5" s="285">
        <v>5</v>
      </c>
      <c r="N5" s="285"/>
      <c r="O5" s="285">
        <v>3</v>
      </c>
      <c r="P5" s="286">
        <v>6</v>
      </c>
    </row>
    <row r="6" spans="1:20" ht="14.5" x14ac:dyDescent="0.25">
      <c r="A6" s="362">
        <v>2</v>
      </c>
      <c r="B6" s="258">
        <v>9</v>
      </c>
      <c r="C6" s="259">
        <v>14.0625</v>
      </c>
      <c r="D6" s="263">
        <v>10</v>
      </c>
      <c r="E6" s="259">
        <v>15.625</v>
      </c>
      <c r="F6" s="260">
        <v>15</v>
      </c>
      <c r="G6" s="261">
        <v>23.4375</v>
      </c>
      <c r="H6" s="263">
        <v>17</v>
      </c>
      <c r="I6" s="259">
        <v>26.5625</v>
      </c>
      <c r="J6" s="357">
        <f t="shared" si="1"/>
        <v>8</v>
      </c>
      <c r="K6" s="262">
        <f t="shared" si="2"/>
        <v>12.5</v>
      </c>
      <c r="L6" s="285">
        <v>4</v>
      </c>
      <c r="M6" s="285">
        <v>2</v>
      </c>
      <c r="N6" s="285"/>
      <c r="O6" s="285">
        <v>1</v>
      </c>
      <c r="P6" s="286">
        <v>1</v>
      </c>
    </row>
    <row r="7" spans="1:20" ht="14.5" x14ac:dyDescent="0.25">
      <c r="A7" s="362">
        <v>3</v>
      </c>
      <c r="B7" s="258">
        <v>1</v>
      </c>
      <c r="C7" s="259">
        <v>1.5625</v>
      </c>
      <c r="D7" s="258">
        <v>1</v>
      </c>
      <c r="E7" s="259">
        <v>1.5625</v>
      </c>
      <c r="F7" s="260">
        <v>1</v>
      </c>
      <c r="G7" s="261">
        <v>1.5625</v>
      </c>
      <c r="H7" s="263">
        <v>6</v>
      </c>
      <c r="I7" s="259">
        <v>9.375</v>
      </c>
      <c r="J7" s="357">
        <f t="shared" si="1"/>
        <v>7</v>
      </c>
      <c r="K7" s="262">
        <f t="shared" si="2"/>
        <v>10.9375</v>
      </c>
      <c r="L7" s="285">
        <v>3</v>
      </c>
      <c r="M7" s="285">
        <v>3</v>
      </c>
      <c r="N7" s="285"/>
      <c r="O7" s="285"/>
      <c r="P7" s="286">
        <v>1</v>
      </c>
    </row>
    <row r="8" spans="1:20" ht="14.5" x14ac:dyDescent="0.25">
      <c r="A8" s="362">
        <v>4</v>
      </c>
      <c r="B8" s="258">
        <v>1</v>
      </c>
      <c r="C8" s="259">
        <v>1.5625</v>
      </c>
      <c r="D8" s="263"/>
      <c r="E8" s="259"/>
      <c r="F8" s="260"/>
      <c r="G8" s="261"/>
      <c r="H8" s="263"/>
      <c r="I8" s="259"/>
      <c r="J8" s="357">
        <f t="shared" ref="J8" si="4">SUM(L8:P8)</f>
        <v>2</v>
      </c>
      <c r="K8" s="262">
        <f t="shared" ref="K8" si="5">J8/64%</f>
        <v>3.125</v>
      </c>
      <c r="L8" s="285"/>
      <c r="M8" s="285"/>
      <c r="N8" s="285"/>
      <c r="O8" s="285"/>
      <c r="P8" s="286">
        <v>2</v>
      </c>
    </row>
    <row r="9" spans="1:20" ht="14.5" x14ac:dyDescent="0.25">
      <c r="A9" s="362">
        <v>5</v>
      </c>
      <c r="B9" s="258">
        <v>1</v>
      </c>
      <c r="C9" s="259">
        <v>1.5625</v>
      </c>
      <c r="D9" s="263"/>
      <c r="E9" s="259"/>
      <c r="F9" s="260"/>
      <c r="G9" s="261"/>
      <c r="H9" s="263"/>
      <c r="I9" s="259"/>
      <c r="J9" s="357"/>
      <c r="K9" s="262"/>
      <c r="L9" s="285"/>
      <c r="M9" s="285"/>
      <c r="N9" s="285"/>
      <c r="O9" s="285"/>
      <c r="P9" s="286"/>
    </row>
    <row r="10" spans="1:20" ht="6.75" customHeight="1" x14ac:dyDescent="0.25">
      <c r="A10" s="362"/>
      <c r="B10" s="258"/>
      <c r="C10" s="264"/>
      <c r="D10" s="263"/>
      <c r="E10" s="264"/>
      <c r="F10" s="265"/>
      <c r="G10" s="45"/>
      <c r="H10" s="263"/>
      <c r="I10" s="264"/>
      <c r="J10" s="358"/>
      <c r="K10" s="44"/>
      <c r="L10" s="285"/>
      <c r="M10" s="283"/>
      <c r="N10" s="283"/>
      <c r="O10" s="285"/>
      <c r="P10" s="284"/>
    </row>
    <row r="11" spans="1:20" ht="15" thickBot="1" x14ac:dyDescent="0.3">
      <c r="A11" s="363" t="s">
        <v>9</v>
      </c>
      <c r="B11" s="287">
        <v>64</v>
      </c>
      <c r="C11" s="364">
        <v>100</v>
      </c>
      <c r="D11" s="287">
        <v>64</v>
      </c>
      <c r="E11" s="364">
        <v>100</v>
      </c>
      <c r="F11" s="287">
        <v>64</v>
      </c>
      <c r="G11" s="365">
        <v>100</v>
      </c>
      <c r="H11" s="366">
        <v>64</v>
      </c>
      <c r="I11" s="364">
        <v>100</v>
      </c>
      <c r="J11" s="359">
        <f>SUM(J4:J9)</f>
        <v>64</v>
      </c>
      <c r="K11" s="266">
        <f>J11/64%</f>
        <v>100</v>
      </c>
      <c r="L11" s="287">
        <f>SUM(L4:L9)</f>
        <v>24</v>
      </c>
      <c r="M11" s="287">
        <f>SUM(M4:M9)</f>
        <v>13</v>
      </c>
      <c r="N11" s="287">
        <f t="shared" ref="N11:O11" si="6">SUM(N4:N9)</f>
        <v>3</v>
      </c>
      <c r="O11" s="287">
        <f t="shared" si="6"/>
        <v>7</v>
      </c>
      <c r="P11" s="288">
        <f>SUM(P4:P9)</f>
        <v>17</v>
      </c>
    </row>
    <row r="12" spans="1:20" x14ac:dyDescent="0.25">
      <c r="L12" s="7">
        <v>24</v>
      </c>
      <c r="M12" s="7">
        <v>13</v>
      </c>
      <c r="N12" s="7">
        <v>3</v>
      </c>
      <c r="O12" s="7">
        <v>7</v>
      </c>
      <c r="P12" s="7">
        <v>17</v>
      </c>
    </row>
    <row r="16" spans="1:20" x14ac:dyDescent="0.25">
      <c r="L16" s="360"/>
    </row>
  </sheetData>
  <mergeCells count="7">
    <mergeCell ref="L1:P1"/>
    <mergeCell ref="J1:K1"/>
    <mergeCell ref="A1:A2"/>
    <mergeCell ref="B1:C1"/>
    <mergeCell ref="D1:E1"/>
    <mergeCell ref="F1:G1"/>
    <mergeCell ref="H1:I1"/>
  </mergeCells>
  <phoneticPr fontId="3" type="noConversion"/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O40"/>
  <sheetViews>
    <sheetView topLeftCell="A12" zoomScale="145" zoomScaleNormal="145" workbookViewId="0">
      <selection activeCell="O3" sqref="O3"/>
    </sheetView>
  </sheetViews>
  <sheetFormatPr defaultColWidth="10.90625" defaultRowHeight="12.5" x14ac:dyDescent="0.25"/>
  <cols>
    <col min="1" max="1" width="17.08984375" style="5" bestFit="1" customWidth="1"/>
    <col min="2" max="2" width="6.90625" bestFit="1" customWidth="1"/>
    <col min="3" max="3" width="4.453125" customWidth="1"/>
    <col min="4" max="5" width="4.54296875" bestFit="1" customWidth="1"/>
    <col min="6" max="6" width="4.90625" bestFit="1" customWidth="1"/>
    <col min="7" max="7" width="4.54296875" bestFit="1" customWidth="1"/>
    <col min="8" max="8" width="4.90625" bestFit="1" customWidth="1"/>
    <col min="9" max="11" width="4.54296875" bestFit="1" customWidth="1"/>
    <col min="12" max="12" width="5" bestFit="1" customWidth="1"/>
    <col min="13" max="14" width="4.54296875" bestFit="1" customWidth="1"/>
  </cols>
  <sheetData>
    <row r="1" spans="1:15" x14ac:dyDescent="0.25">
      <c r="A1" s="153" t="s">
        <v>62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</row>
    <row r="2" spans="1:15" s="4" customFormat="1" ht="20.25" customHeight="1" x14ac:dyDescent="0.25">
      <c r="A2" s="440" t="s">
        <v>0</v>
      </c>
      <c r="B2" s="442" t="s">
        <v>60</v>
      </c>
      <c r="C2" s="437" t="s">
        <v>18</v>
      </c>
      <c r="D2" s="438"/>
      <c r="E2" s="439"/>
      <c r="F2" s="437" t="s">
        <v>19</v>
      </c>
      <c r="G2" s="438"/>
      <c r="H2" s="439"/>
      <c r="I2" s="437" t="s">
        <v>49</v>
      </c>
      <c r="J2" s="438"/>
      <c r="K2" s="439"/>
      <c r="L2" s="437" t="s">
        <v>21</v>
      </c>
      <c r="M2" s="438"/>
      <c r="N2" s="439"/>
    </row>
    <row r="3" spans="1:15" s="6" customFormat="1" ht="20.25" customHeight="1" x14ac:dyDescent="0.25">
      <c r="A3" s="441"/>
      <c r="B3" s="443"/>
      <c r="C3" s="61">
        <v>2012</v>
      </c>
      <c r="D3" s="154">
        <v>2016</v>
      </c>
      <c r="E3" s="155">
        <v>2020</v>
      </c>
      <c r="F3" s="61">
        <v>2012</v>
      </c>
      <c r="G3" s="154">
        <v>2016</v>
      </c>
      <c r="H3" s="155">
        <v>2020</v>
      </c>
      <c r="I3" s="61">
        <v>2012</v>
      </c>
      <c r="J3" s="154">
        <v>2016</v>
      </c>
      <c r="K3" s="155">
        <v>2020</v>
      </c>
      <c r="L3" s="61">
        <v>2012</v>
      </c>
      <c r="M3" s="154">
        <v>2016</v>
      </c>
      <c r="N3" s="60">
        <v>2020</v>
      </c>
    </row>
    <row r="4" spans="1:15" ht="6" customHeight="1" x14ac:dyDescent="0.25">
      <c r="A4" s="156"/>
      <c r="B4" s="157"/>
      <c r="C4" s="158"/>
      <c r="D4" s="159"/>
      <c r="E4" s="160"/>
      <c r="F4" s="152"/>
      <c r="G4" s="161"/>
      <c r="H4" s="162"/>
      <c r="I4" s="163"/>
      <c r="J4" s="164"/>
      <c r="K4" s="165"/>
      <c r="L4" s="163"/>
      <c r="M4" s="164"/>
      <c r="N4" s="165"/>
    </row>
    <row r="5" spans="1:15" s="11" customFormat="1" x14ac:dyDescent="0.25">
      <c r="A5" s="166" t="s">
        <v>1</v>
      </c>
      <c r="B5" s="108" t="s">
        <v>77</v>
      </c>
      <c r="C5" s="109">
        <v>5</v>
      </c>
      <c r="D5" s="110">
        <v>5</v>
      </c>
      <c r="E5" s="111">
        <v>5</v>
      </c>
      <c r="F5" s="112">
        <v>3</v>
      </c>
      <c r="G5" s="113">
        <v>3</v>
      </c>
      <c r="H5" s="114">
        <v>3</v>
      </c>
      <c r="I5" s="115">
        <v>4</v>
      </c>
      <c r="J5" s="116">
        <v>4</v>
      </c>
      <c r="K5" s="117">
        <v>4</v>
      </c>
      <c r="L5" s="115">
        <v>3</v>
      </c>
      <c r="M5" s="116">
        <v>3</v>
      </c>
      <c r="N5" s="117">
        <v>3</v>
      </c>
      <c r="O5" s="14"/>
    </row>
    <row r="6" spans="1:15" s="11" customFormat="1" x14ac:dyDescent="0.25">
      <c r="A6" s="166" t="s">
        <v>2</v>
      </c>
      <c r="B6" s="108"/>
      <c r="C6" s="109">
        <v>2</v>
      </c>
      <c r="D6" s="110">
        <v>2</v>
      </c>
      <c r="E6" s="111"/>
      <c r="F6" s="112">
        <v>1</v>
      </c>
      <c r="G6" s="113">
        <v>1</v>
      </c>
      <c r="H6" s="114"/>
      <c r="I6" s="115">
        <v>0</v>
      </c>
      <c r="J6" s="116">
        <v>0</v>
      </c>
      <c r="K6" s="117"/>
      <c r="L6" s="115">
        <v>0</v>
      </c>
      <c r="M6" s="116">
        <v>0</v>
      </c>
      <c r="N6" s="117"/>
      <c r="O6" s="14"/>
    </row>
    <row r="7" spans="1:15" s="11" customFormat="1" x14ac:dyDescent="0.25">
      <c r="A7" s="166" t="s">
        <v>3</v>
      </c>
      <c r="B7" s="108">
        <v>7</v>
      </c>
      <c r="C7" s="109">
        <v>3</v>
      </c>
      <c r="D7" s="110">
        <v>2</v>
      </c>
      <c r="E7" s="111">
        <v>2</v>
      </c>
      <c r="F7" s="112">
        <v>1</v>
      </c>
      <c r="G7" s="113">
        <v>1</v>
      </c>
      <c r="H7" s="114">
        <v>1</v>
      </c>
      <c r="I7" s="115">
        <v>1</v>
      </c>
      <c r="J7" s="116">
        <v>1</v>
      </c>
      <c r="K7" s="117">
        <v>1</v>
      </c>
      <c r="L7" s="115">
        <v>2</v>
      </c>
      <c r="M7" s="116">
        <v>3</v>
      </c>
      <c r="N7" s="117">
        <v>3</v>
      </c>
      <c r="O7" s="14"/>
    </row>
    <row r="8" spans="1:15" s="11" customFormat="1" x14ac:dyDescent="0.25">
      <c r="A8" s="166" t="s">
        <v>4</v>
      </c>
      <c r="B8" s="118" t="str">
        <f>"7/6"</f>
        <v>7/6</v>
      </c>
      <c r="C8" s="109">
        <v>2</v>
      </c>
      <c r="D8" s="110">
        <v>2</v>
      </c>
      <c r="E8" s="111">
        <v>2</v>
      </c>
      <c r="F8" s="112">
        <v>1</v>
      </c>
      <c r="G8" s="113">
        <v>1</v>
      </c>
      <c r="H8" s="114">
        <v>1</v>
      </c>
      <c r="I8" s="115">
        <v>2</v>
      </c>
      <c r="J8" s="116">
        <v>2</v>
      </c>
      <c r="K8" s="117">
        <v>2</v>
      </c>
      <c r="L8" s="115">
        <v>1</v>
      </c>
      <c r="M8" s="116">
        <v>1</v>
      </c>
      <c r="N8" s="117">
        <v>1</v>
      </c>
      <c r="O8" s="14"/>
    </row>
    <row r="9" spans="1:15" s="11" customFormat="1" x14ac:dyDescent="0.25">
      <c r="A9" s="166" t="s">
        <v>5</v>
      </c>
      <c r="B9" s="108"/>
      <c r="C9" s="109">
        <v>0</v>
      </c>
      <c r="D9" s="110">
        <v>0</v>
      </c>
      <c r="E9" s="111"/>
      <c r="F9" s="112">
        <v>2</v>
      </c>
      <c r="G9" s="113">
        <v>2</v>
      </c>
      <c r="H9" s="114"/>
      <c r="I9" s="115">
        <v>1</v>
      </c>
      <c r="J9" s="116">
        <v>1</v>
      </c>
      <c r="K9" s="117"/>
      <c r="L9" s="115">
        <v>0</v>
      </c>
      <c r="M9" s="116">
        <v>0</v>
      </c>
      <c r="N9" s="117"/>
      <c r="O9" s="14"/>
    </row>
    <row r="10" spans="1:15" s="11" customFormat="1" x14ac:dyDescent="0.25">
      <c r="A10" s="166" t="s">
        <v>6</v>
      </c>
      <c r="B10" s="108">
        <v>9</v>
      </c>
      <c r="C10" s="109">
        <v>3</v>
      </c>
      <c r="D10" s="110">
        <v>3</v>
      </c>
      <c r="E10" s="111">
        <v>3</v>
      </c>
      <c r="F10" s="112">
        <v>1</v>
      </c>
      <c r="G10" s="113">
        <v>2</v>
      </c>
      <c r="H10" s="114">
        <v>2</v>
      </c>
      <c r="I10" s="119">
        <v>2</v>
      </c>
      <c r="J10" s="113">
        <v>1</v>
      </c>
      <c r="K10" s="114">
        <v>2</v>
      </c>
      <c r="L10" s="119">
        <v>3</v>
      </c>
      <c r="M10" s="113">
        <v>3</v>
      </c>
      <c r="N10" s="114">
        <v>2</v>
      </c>
      <c r="O10" s="14"/>
    </row>
    <row r="11" spans="1:15" s="11" customFormat="1" x14ac:dyDescent="0.25">
      <c r="A11" s="166" t="s">
        <v>7</v>
      </c>
      <c r="B11" s="108"/>
      <c r="C11" s="109">
        <v>2</v>
      </c>
      <c r="D11" s="110">
        <v>2</v>
      </c>
      <c r="E11" s="111"/>
      <c r="F11" s="112">
        <v>0</v>
      </c>
      <c r="G11" s="113">
        <v>0</v>
      </c>
      <c r="H11" s="114"/>
      <c r="I11" s="119">
        <v>0</v>
      </c>
      <c r="J11" s="113">
        <v>0</v>
      </c>
      <c r="K11" s="114"/>
      <c r="L11" s="119">
        <v>1</v>
      </c>
      <c r="M11" s="113">
        <v>1</v>
      </c>
      <c r="N11" s="114"/>
      <c r="O11" s="14"/>
    </row>
    <row r="12" spans="1:15" s="11" customFormat="1" x14ac:dyDescent="0.25">
      <c r="A12" s="166" t="s">
        <v>8</v>
      </c>
      <c r="B12" s="120"/>
      <c r="C12" s="109">
        <v>1</v>
      </c>
      <c r="D12" s="110">
        <v>1</v>
      </c>
      <c r="E12" s="111"/>
      <c r="F12" s="112">
        <v>1</v>
      </c>
      <c r="G12" s="113">
        <v>2</v>
      </c>
      <c r="H12" s="114"/>
      <c r="I12" s="119">
        <v>1</v>
      </c>
      <c r="J12" s="119">
        <v>0</v>
      </c>
      <c r="K12" s="114"/>
      <c r="L12" s="119">
        <v>1</v>
      </c>
      <c r="M12" s="113">
        <v>1</v>
      </c>
      <c r="N12" s="114"/>
      <c r="O12" s="14"/>
    </row>
    <row r="13" spans="1:15" ht="6" customHeight="1" x14ac:dyDescent="0.25">
      <c r="A13" s="167"/>
      <c r="B13" s="123"/>
      <c r="C13" s="124"/>
      <c r="D13" s="125"/>
      <c r="E13" s="126"/>
      <c r="F13" s="112"/>
      <c r="G13" s="113"/>
      <c r="H13" s="114"/>
      <c r="I13" s="124"/>
      <c r="J13" s="125"/>
      <c r="K13" s="126"/>
      <c r="L13" s="124"/>
      <c r="M13" s="127"/>
      <c r="N13" s="128"/>
      <c r="O13" s="1"/>
    </row>
    <row r="14" spans="1:15" s="2" customFormat="1" ht="36" customHeight="1" x14ac:dyDescent="0.25">
      <c r="A14" s="168" t="s">
        <v>36</v>
      </c>
      <c r="B14" s="129">
        <v>37</v>
      </c>
      <c r="C14" s="129">
        <f t="shared" ref="C14:D14" si="0">SUM(C5:C12)</f>
        <v>18</v>
      </c>
      <c r="D14" s="130">
        <f t="shared" si="0"/>
        <v>17</v>
      </c>
      <c r="E14" s="131">
        <f t="shared" ref="E14:N14" si="1">SUM(E5:E12)</f>
        <v>12</v>
      </c>
      <c r="F14" s="132">
        <f t="shared" ref="F14:G14" si="2">SUM(F5:F12)</f>
        <v>10</v>
      </c>
      <c r="G14" s="133">
        <f t="shared" si="2"/>
        <v>12</v>
      </c>
      <c r="H14" s="134">
        <f t="shared" si="1"/>
        <v>7</v>
      </c>
      <c r="I14" s="129">
        <f t="shared" ref="I14:J14" si="3">SUM(I5:I12)</f>
        <v>11</v>
      </c>
      <c r="J14" s="130">
        <f t="shared" si="3"/>
        <v>9</v>
      </c>
      <c r="K14" s="131">
        <f t="shared" si="1"/>
        <v>9</v>
      </c>
      <c r="L14" s="129">
        <f t="shared" ref="L14:M14" si="4">SUM(L5:L12)</f>
        <v>11</v>
      </c>
      <c r="M14" s="130">
        <f t="shared" si="4"/>
        <v>12</v>
      </c>
      <c r="N14" s="131">
        <f t="shared" si="1"/>
        <v>9</v>
      </c>
      <c r="O14" s="3"/>
    </row>
    <row r="15" spans="1:15" ht="6" customHeight="1" x14ac:dyDescent="0.25">
      <c r="A15" s="169"/>
      <c r="B15" s="135"/>
      <c r="C15" s="136"/>
      <c r="D15" s="137"/>
      <c r="E15" s="138"/>
      <c r="F15" s="112"/>
      <c r="G15" s="113"/>
      <c r="H15" s="114"/>
      <c r="I15" s="136"/>
      <c r="J15" s="137"/>
      <c r="K15" s="138"/>
      <c r="L15" s="136"/>
      <c r="M15" s="139"/>
      <c r="N15" s="140"/>
      <c r="O15" s="1"/>
    </row>
    <row r="16" spans="1:15" x14ac:dyDescent="0.25">
      <c r="A16" s="166" t="s">
        <v>16</v>
      </c>
      <c r="B16" s="120">
        <v>2</v>
      </c>
      <c r="C16" s="109">
        <v>1</v>
      </c>
      <c r="D16" s="110">
        <v>1</v>
      </c>
      <c r="E16" s="111">
        <v>1</v>
      </c>
      <c r="F16" s="112">
        <v>1</v>
      </c>
      <c r="G16" s="113">
        <v>1</v>
      </c>
      <c r="H16" s="114">
        <v>1</v>
      </c>
      <c r="I16" s="119">
        <v>0</v>
      </c>
      <c r="J16" s="113">
        <v>0</v>
      </c>
      <c r="K16" s="114">
        <v>0</v>
      </c>
      <c r="L16" s="119">
        <v>0</v>
      </c>
      <c r="M16" s="113">
        <v>0</v>
      </c>
      <c r="N16" s="114">
        <v>0</v>
      </c>
      <c r="O16" s="1"/>
    </row>
    <row r="17" spans="1:15" s="11" customFormat="1" x14ac:dyDescent="0.25">
      <c r="A17" s="166" t="s">
        <v>2</v>
      </c>
      <c r="B17" s="108">
        <v>3</v>
      </c>
      <c r="C17" s="109"/>
      <c r="D17" s="110"/>
      <c r="E17" s="111">
        <v>2</v>
      </c>
      <c r="F17" s="112"/>
      <c r="G17" s="113"/>
      <c r="H17" s="114">
        <v>1</v>
      </c>
      <c r="I17" s="115"/>
      <c r="J17" s="116"/>
      <c r="K17" s="117">
        <v>0</v>
      </c>
      <c r="L17" s="115"/>
      <c r="M17" s="116"/>
      <c r="N17" s="117">
        <v>0</v>
      </c>
      <c r="O17" s="14"/>
    </row>
    <row r="18" spans="1:15" x14ac:dyDescent="0.25">
      <c r="A18" s="166" t="s">
        <v>34</v>
      </c>
      <c r="B18" s="120">
        <v>1</v>
      </c>
      <c r="C18" s="109">
        <v>0</v>
      </c>
      <c r="D18" s="110">
        <v>0</v>
      </c>
      <c r="E18" s="111">
        <v>1</v>
      </c>
      <c r="F18" s="112">
        <v>0</v>
      </c>
      <c r="G18" s="113">
        <v>0</v>
      </c>
      <c r="H18" s="114">
        <v>0</v>
      </c>
      <c r="I18" s="119">
        <v>0</v>
      </c>
      <c r="J18" s="113">
        <v>0</v>
      </c>
      <c r="K18" s="114">
        <v>0</v>
      </c>
      <c r="L18" s="119">
        <v>1</v>
      </c>
      <c r="M18" s="113">
        <v>1</v>
      </c>
      <c r="N18" s="114">
        <v>0</v>
      </c>
      <c r="O18" s="1"/>
    </row>
    <row r="19" spans="1:15" s="11" customFormat="1" x14ac:dyDescent="0.25">
      <c r="A19" s="166" t="s">
        <v>5</v>
      </c>
      <c r="B19" s="108">
        <v>3</v>
      </c>
      <c r="C19" s="109"/>
      <c r="D19" s="110"/>
      <c r="E19" s="111">
        <v>1</v>
      </c>
      <c r="F19" s="112"/>
      <c r="G19" s="113"/>
      <c r="H19" s="114">
        <v>1</v>
      </c>
      <c r="I19" s="115"/>
      <c r="J19" s="116"/>
      <c r="K19" s="117">
        <v>0</v>
      </c>
      <c r="L19" s="115"/>
      <c r="M19" s="116"/>
      <c r="N19" s="117">
        <v>1</v>
      </c>
      <c r="O19" s="14"/>
    </row>
    <row r="20" spans="1:15" x14ac:dyDescent="0.25">
      <c r="A20" s="166" t="s">
        <v>25</v>
      </c>
      <c r="B20" s="120">
        <v>1</v>
      </c>
      <c r="C20" s="109">
        <v>0</v>
      </c>
      <c r="D20" s="110">
        <v>0</v>
      </c>
      <c r="E20" s="276">
        <v>0</v>
      </c>
      <c r="F20" s="112">
        <v>0</v>
      </c>
      <c r="G20" s="113">
        <v>1</v>
      </c>
      <c r="H20" s="277">
        <v>0</v>
      </c>
      <c r="I20" s="119">
        <v>0</v>
      </c>
      <c r="J20" s="113">
        <v>0</v>
      </c>
      <c r="K20" s="114">
        <v>0</v>
      </c>
      <c r="L20" s="119">
        <v>1</v>
      </c>
      <c r="M20" s="113">
        <v>0</v>
      </c>
      <c r="N20" s="277">
        <v>0</v>
      </c>
      <c r="O20" s="1"/>
    </row>
    <row r="21" spans="1:15" x14ac:dyDescent="0.25">
      <c r="A21" s="166" t="s">
        <v>26</v>
      </c>
      <c r="B21" s="120">
        <v>1</v>
      </c>
      <c r="C21" s="109">
        <v>0</v>
      </c>
      <c r="D21" s="110">
        <v>0</v>
      </c>
      <c r="E21" s="111">
        <v>0</v>
      </c>
      <c r="F21" s="112">
        <v>1</v>
      </c>
      <c r="G21" s="113">
        <v>1</v>
      </c>
      <c r="H21" s="114">
        <v>1</v>
      </c>
      <c r="I21" s="119">
        <v>0</v>
      </c>
      <c r="J21" s="113">
        <v>0</v>
      </c>
      <c r="K21" s="114">
        <v>0</v>
      </c>
      <c r="L21" s="119">
        <v>0</v>
      </c>
      <c r="M21" s="113">
        <v>0</v>
      </c>
      <c r="N21" s="114">
        <v>0</v>
      </c>
      <c r="O21" s="1"/>
    </row>
    <row r="22" spans="1:15" x14ac:dyDescent="0.25">
      <c r="A22" s="166" t="s">
        <v>27</v>
      </c>
      <c r="B22" s="120">
        <v>1</v>
      </c>
      <c r="C22" s="109">
        <v>0</v>
      </c>
      <c r="D22" s="110">
        <v>0</v>
      </c>
      <c r="E22" s="111">
        <v>0</v>
      </c>
      <c r="F22" s="112">
        <v>1</v>
      </c>
      <c r="G22" s="113">
        <v>1</v>
      </c>
      <c r="H22" s="114">
        <v>1</v>
      </c>
      <c r="I22" s="119">
        <v>0</v>
      </c>
      <c r="J22" s="113">
        <v>0</v>
      </c>
      <c r="K22" s="114">
        <v>0</v>
      </c>
      <c r="L22" s="119">
        <v>0</v>
      </c>
      <c r="M22" s="113">
        <v>0</v>
      </c>
      <c r="N22" s="114">
        <v>0</v>
      </c>
      <c r="O22" s="1"/>
    </row>
    <row r="23" spans="1:15" x14ac:dyDescent="0.25">
      <c r="A23" s="166" t="s">
        <v>35</v>
      </c>
      <c r="B23" s="120">
        <v>1</v>
      </c>
      <c r="C23" s="109">
        <v>1</v>
      </c>
      <c r="D23" s="110">
        <v>1</v>
      </c>
      <c r="E23" s="111">
        <v>1</v>
      </c>
      <c r="F23" s="112">
        <v>0</v>
      </c>
      <c r="G23" s="113">
        <v>0</v>
      </c>
      <c r="H23" s="114">
        <v>0</v>
      </c>
      <c r="I23" s="119">
        <v>0</v>
      </c>
      <c r="J23" s="113">
        <v>0</v>
      </c>
      <c r="K23" s="114">
        <v>0</v>
      </c>
      <c r="L23" s="119">
        <v>0</v>
      </c>
      <c r="M23" s="113">
        <v>0</v>
      </c>
      <c r="N23" s="114">
        <v>0</v>
      </c>
      <c r="O23" s="1"/>
    </row>
    <row r="24" spans="1:15" x14ac:dyDescent="0.25">
      <c r="A24" s="166" t="s">
        <v>28</v>
      </c>
      <c r="B24" s="120">
        <v>1</v>
      </c>
      <c r="C24" s="109">
        <v>0</v>
      </c>
      <c r="D24" s="110">
        <v>0</v>
      </c>
      <c r="E24" s="111">
        <v>0</v>
      </c>
      <c r="F24" s="112">
        <v>1</v>
      </c>
      <c r="G24" s="113">
        <v>1</v>
      </c>
      <c r="H24" s="114">
        <v>1</v>
      </c>
      <c r="I24" s="119">
        <v>0</v>
      </c>
      <c r="J24" s="113">
        <v>0</v>
      </c>
      <c r="K24" s="114">
        <v>0</v>
      </c>
      <c r="L24" s="119">
        <v>0</v>
      </c>
      <c r="M24" s="113">
        <v>0</v>
      </c>
      <c r="N24" s="114">
        <v>0</v>
      </c>
      <c r="O24" s="1"/>
    </row>
    <row r="25" spans="1:15" s="11" customFormat="1" x14ac:dyDescent="0.25">
      <c r="A25" s="166" t="s">
        <v>7</v>
      </c>
      <c r="B25" s="108">
        <v>3</v>
      </c>
      <c r="C25" s="109"/>
      <c r="D25" s="110"/>
      <c r="E25" s="111">
        <v>3</v>
      </c>
      <c r="F25" s="112"/>
      <c r="G25" s="113"/>
      <c r="H25" s="114">
        <v>0</v>
      </c>
      <c r="I25" s="119"/>
      <c r="J25" s="113"/>
      <c r="K25" s="114">
        <v>0</v>
      </c>
      <c r="L25" s="119"/>
      <c r="M25" s="113"/>
      <c r="N25" s="114">
        <v>0</v>
      </c>
      <c r="O25" s="14"/>
    </row>
    <row r="26" spans="1:15" x14ac:dyDescent="0.25">
      <c r="A26" s="166" t="s">
        <v>29</v>
      </c>
      <c r="B26" s="120">
        <v>1</v>
      </c>
      <c r="C26" s="109">
        <v>1</v>
      </c>
      <c r="D26" s="110">
        <v>1</v>
      </c>
      <c r="E26" s="111">
        <v>0</v>
      </c>
      <c r="F26" s="112">
        <v>0</v>
      </c>
      <c r="G26" s="113">
        <v>0</v>
      </c>
      <c r="H26" s="114">
        <v>1</v>
      </c>
      <c r="I26" s="119">
        <v>0</v>
      </c>
      <c r="J26" s="113">
        <v>0</v>
      </c>
      <c r="K26" s="114">
        <v>0</v>
      </c>
      <c r="L26" s="119">
        <v>0</v>
      </c>
      <c r="M26" s="113">
        <v>0</v>
      </c>
      <c r="N26" s="114">
        <v>0</v>
      </c>
      <c r="O26" s="1"/>
    </row>
    <row r="27" spans="1:15" s="11" customFormat="1" x14ac:dyDescent="0.25">
      <c r="A27" s="166" t="s">
        <v>8</v>
      </c>
      <c r="B27" s="120">
        <v>4</v>
      </c>
      <c r="C27" s="109"/>
      <c r="D27" s="110"/>
      <c r="E27" s="111">
        <v>2</v>
      </c>
      <c r="F27" s="112"/>
      <c r="G27" s="113"/>
      <c r="H27" s="114">
        <v>1</v>
      </c>
      <c r="I27" s="121"/>
      <c r="J27" s="122"/>
      <c r="K27" s="114">
        <v>0</v>
      </c>
      <c r="L27" s="119"/>
      <c r="M27" s="113"/>
      <c r="N27" s="114">
        <v>1</v>
      </c>
      <c r="O27" s="14"/>
    </row>
    <row r="28" spans="1:15" x14ac:dyDescent="0.25">
      <c r="A28" s="166" t="s">
        <v>30</v>
      </c>
      <c r="B28" s="120">
        <v>1</v>
      </c>
      <c r="C28" s="109">
        <v>0</v>
      </c>
      <c r="D28" s="110">
        <v>0</v>
      </c>
      <c r="E28" s="111">
        <v>0</v>
      </c>
      <c r="F28" s="112">
        <v>1</v>
      </c>
      <c r="G28" s="113">
        <v>1</v>
      </c>
      <c r="H28" s="114">
        <v>1</v>
      </c>
      <c r="I28" s="119">
        <v>0</v>
      </c>
      <c r="J28" s="113">
        <v>0</v>
      </c>
      <c r="K28" s="114">
        <v>0</v>
      </c>
      <c r="L28" s="119">
        <v>0</v>
      </c>
      <c r="M28" s="113">
        <v>0</v>
      </c>
      <c r="N28" s="114">
        <v>0</v>
      </c>
      <c r="O28" s="1"/>
    </row>
    <row r="29" spans="1:15" x14ac:dyDescent="0.25">
      <c r="A29" s="166" t="s">
        <v>31</v>
      </c>
      <c r="B29" s="120">
        <v>2</v>
      </c>
      <c r="C29" s="109">
        <v>1</v>
      </c>
      <c r="D29" s="110">
        <v>1</v>
      </c>
      <c r="E29" s="111">
        <v>1</v>
      </c>
      <c r="F29" s="112">
        <v>0</v>
      </c>
      <c r="G29" s="113">
        <v>0</v>
      </c>
      <c r="H29" s="114">
        <v>0</v>
      </c>
      <c r="I29" s="119">
        <v>0</v>
      </c>
      <c r="J29" s="113">
        <v>0</v>
      </c>
      <c r="K29" s="114">
        <v>0</v>
      </c>
      <c r="L29" s="119">
        <v>1</v>
      </c>
      <c r="M29" s="113">
        <v>1</v>
      </c>
      <c r="N29" s="114">
        <v>1</v>
      </c>
      <c r="O29" s="1"/>
    </row>
    <row r="30" spans="1:15" x14ac:dyDescent="0.25">
      <c r="A30" s="166" t="s">
        <v>32</v>
      </c>
      <c r="B30" s="120">
        <v>1</v>
      </c>
      <c r="C30" s="109">
        <v>0</v>
      </c>
      <c r="D30" s="110">
        <v>0</v>
      </c>
      <c r="E30" s="111">
        <v>0</v>
      </c>
      <c r="F30" s="112">
        <v>0</v>
      </c>
      <c r="G30" s="113">
        <v>0</v>
      </c>
      <c r="H30" s="114">
        <v>0</v>
      </c>
      <c r="I30" s="119">
        <v>0</v>
      </c>
      <c r="J30" s="113">
        <v>0</v>
      </c>
      <c r="K30" s="114">
        <v>0</v>
      </c>
      <c r="L30" s="119">
        <v>1</v>
      </c>
      <c r="M30" s="113">
        <v>1</v>
      </c>
      <c r="N30" s="114">
        <v>1</v>
      </c>
      <c r="O30" s="1"/>
    </row>
    <row r="31" spans="1:15" x14ac:dyDescent="0.25">
      <c r="A31" s="166" t="s">
        <v>33</v>
      </c>
      <c r="B31" s="120">
        <v>1</v>
      </c>
      <c r="C31" s="109">
        <v>1</v>
      </c>
      <c r="D31" s="110">
        <v>1</v>
      </c>
      <c r="E31" s="111">
        <v>1</v>
      </c>
      <c r="F31" s="112">
        <v>0</v>
      </c>
      <c r="G31" s="113">
        <v>0</v>
      </c>
      <c r="H31" s="114">
        <v>0</v>
      </c>
      <c r="I31" s="119">
        <v>0</v>
      </c>
      <c r="J31" s="113">
        <v>0</v>
      </c>
      <c r="K31" s="114">
        <v>0</v>
      </c>
      <c r="L31" s="119">
        <v>0</v>
      </c>
      <c r="M31" s="113">
        <v>0</v>
      </c>
      <c r="N31" s="114">
        <v>0</v>
      </c>
      <c r="O31" s="1"/>
    </row>
    <row r="32" spans="1:15" ht="6" customHeight="1" x14ac:dyDescent="0.25">
      <c r="A32" s="166"/>
      <c r="B32" s="120"/>
      <c r="C32" s="119"/>
      <c r="D32" s="113"/>
      <c r="E32" s="114"/>
      <c r="F32" s="112"/>
      <c r="G32" s="113"/>
      <c r="H32" s="114"/>
      <c r="I32" s="119"/>
      <c r="J32" s="113"/>
      <c r="K32" s="114"/>
      <c r="L32" s="119"/>
      <c r="M32" s="141"/>
      <c r="N32" s="142"/>
      <c r="O32" s="1"/>
    </row>
    <row r="33" spans="1:15" s="2" customFormat="1" ht="35.25" customHeight="1" x14ac:dyDescent="0.25">
      <c r="A33" s="168" t="s">
        <v>37</v>
      </c>
      <c r="B33" s="129">
        <f>SUM(B16:B31)</f>
        <v>27</v>
      </c>
      <c r="C33" s="129">
        <f t="shared" ref="C33:D33" si="5">SUM(C16:C31)</f>
        <v>5</v>
      </c>
      <c r="D33" s="130">
        <f t="shared" si="5"/>
        <v>5</v>
      </c>
      <c r="E33" s="131">
        <f t="shared" ref="E33:N33" si="6">SUM(E16:E31)</f>
        <v>13</v>
      </c>
      <c r="F33" s="132">
        <f t="shared" ref="F33:G33" si="7">SUM(F16:F31)</f>
        <v>5</v>
      </c>
      <c r="G33" s="133">
        <f t="shared" si="7"/>
        <v>6</v>
      </c>
      <c r="H33" s="134">
        <f t="shared" si="6"/>
        <v>9</v>
      </c>
      <c r="I33" s="129">
        <f t="shared" ref="I33:J33" si="8">SUM(I16:I31)</f>
        <v>0</v>
      </c>
      <c r="J33" s="130">
        <f t="shared" si="8"/>
        <v>0</v>
      </c>
      <c r="K33" s="131">
        <f t="shared" si="6"/>
        <v>0</v>
      </c>
      <c r="L33" s="129">
        <f t="shared" ref="L33:M33" si="9">SUM(L16:L31)</f>
        <v>4</v>
      </c>
      <c r="M33" s="130">
        <f t="shared" si="9"/>
        <v>3</v>
      </c>
      <c r="N33" s="131">
        <f t="shared" si="6"/>
        <v>4</v>
      </c>
      <c r="O33" s="3"/>
    </row>
    <row r="34" spans="1:15" ht="6" customHeight="1" x14ac:dyDescent="0.25">
      <c r="A34" s="166"/>
      <c r="B34" s="120"/>
      <c r="C34" s="119"/>
      <c r="D34" s="113"/>
      <c r="E34" s="114"/>
      <c r="F34" s="112"/>
      <c r="G34" s="113"/>
      <c r="H34" s="114"/>
      <c r="I34" s="119"/>
      <c r="J34" s="113"/>
      <c r="K34" s="114"/>
      <c r="L34" s="119"/>
      <c r="M34" s="141"/>
      <c r="N34" s="142"/>
      <c r="O34" s="1"/>
    </row>
    <row r="35" spans="1:15" s="2" customFormat="1" ht="21.75" customHeight="1" x14ac:dyDescent="0.25">
      <c r="A35" s="170" t="s">
        <v>9</v>
      </c>
      <c r="B35" s="143">
        <f>B33+B14</f>
        <v>64</v>
      </c>
      <c r="C35" s="143">
        <f t="shared" ref="C35:D35" si="10">C33+C14</f>
        <v>23</v>
      </c>
      <c r="D35" s="144">
        <f t="shared" si="10"/>
        <v>22</v>
      </c>
      <c r="E35" s="145">
        <f t="shared" ref="E35:N35" si="11">E33+E14</f>
        <v>25</v>
      </c>
      <c r="F35" s="146">
        <f t="shared" ref="F35:G35" si="12">F33+F14</f>
        <v>15</v>
      </c>
      <c r="G35" s="147">
        <f t="shared" si="12"/>
        <v>18</v>
      </c>
      <c r="H35" s="148">
        <f t="shared" si="11"/>
        <v>16</v>
      </c>
      <c r="I35" s="143">
        <f t="shared" ref="I35:J35" si="13">I33+I14</f>
        <v>11</v>
      </c>
      <c r="J35" s="144">
        <f t="shared" si="13"/>
        <v>9</v>
      </c>
      <c r="K35" s="145">
        <f t="shared" si="11"/>
        <v>9</v>
      </c>
      <c r="L35" s="143">
        <f t="shared" ref="L35:M35" si="14">L33+L14</f>
        <v>15</v>
      </c>
      <c r="M35" s="144">
        <f t="shared" si="14"/>
        <v>15</v>
      </c>
      <c r="N35" s="145">
        <f t="shared" si="11"/>
        <v>13</v>
      </c>
      <c r="O35" s="3"/>
    </row>
    <row r="36" spans="1:15" ht="3" customHeight="1" x14ac:dyDescent="0.25">
      <c r="A36" s="167"/>
      <c r="B36" s="149"/>
      <c r="C36" s="149"/>
      <c r="D36" s="149"/>
      <c r="E36" s="150"/>
      <c r="F36" s="149"/>
      <c r="G36" s="151"/>
      <c r="H36" s="128"/>
      <c r="I36" s="149"/>
      <c r="J36" s="149"/>
      <c r="K36" s="150"/>
      <c r="L36" s="149"/>
      <c r="M36" s="149"/>
      <c r="N36" s="150"/>
    </row>
    <row r="37" spans="1:15" x14ac:dyDescent="0.25">
      <c r="A37" s="153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</row>
    <row r="38" spans="1:15" x14ac:dyDescent="0.25">
      <c r="A38" s="153"/>
      <c r="B38" s="152"/>
      <c r="C38" s="278">
        <f>C35+F35+I35+L35</f>
        <v>64</v>
      </c>
      <c r="D38" s="278">
        <f t="shared" ref="D38:E38" si="15">D35+G35+J35+M35</f>
        <v>64</v>
      </c>
      <c r="E38" s="278">
        <f t="shared" si="15"/>
        <v>63</v>
      </c>
      <c r="F38" s="152"/>
      <c r="G38" s="152"/>
      <c r="H38" s="152"/>
      <c r="I38" s="152"/>
      <c r="J38" s="152"/>
      <c r="K38" s="152"/>
      <c r="L38" s="152"/>
      <c r="M38" s="152"/>
      <c r="N38" s="152"/>
    </row>
    <row r="39" spans="1:15" x14ac:dyDescent="0.25">
      <c r="A39" s="153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</row>
    <row r="40" spans="1:15" x14ac:dyDescent="0.25">
      <c r="A40" s="153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</row>
  </sheetData>
  <mergeCells count="6">
    <mergeCell ref="F2:H2"/>
    <mergeCell ref="I2:K2"/>
    <mergeCell ref="L2:N2"/>
    <mergeCell ref="A2:A3"/>
    <mergeCell ref="B2:B3"/>
    <mergeCell ref="C2:E2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G4"/>
  <sheetViews>
    <sheetView workbookViewId="0">
      <selection activeCell="M28" sqref="M28"/>
    </sheetView>
  </sheetViews>
  <sheetFormatPr defaultColWidth="10.90625" defaultRowHeight="12.5" x14ac:dyDescent="0.25"/>
  <sheetData>
    <row r="1" spans="1:7" x14ac:dyDescent="0.25">
      <c r="A1" t="s">
        <v>17</v>
      </c>
      <c r="B1">
        <v>1992</v>
      </c>
      <c r="C1">
        <v>1996</v>
      </c>
      <c r="D1">
        <v>2000</v>
      </c>
      <c r="E1">
        <v>2004</v>
      </c>
      <c r="F1">
        <v>2008</v>
      </c>
      <c r="G1">
        <v>2012</v>
      </c>
    </row>
    <row r="2" spans="1:7" x14ac:dyDescent="0.25">
      <c r="A2" t="s">
        <v>74</v>
      </c>
      <c r="B2">
        <v>7</v>
      </c>
      <c r="C2">
        <v>9</v>
      </c>
      <c r="D2">
        <v>13</v>
      </c>
      <c r="E2">
        <v>12</v>
      </c>
      <c r="F2">
        <v>11</v>
      </c>
    </row>
    <row r="3" spans="1:7" x14ac:dyDescent="0.25">
      <c r="A3" t="s">
        <v>75</v>
      </c>
      <c r="B3">
        <v>31</v>
      </c>
      <c r="C3">
        <v>33</v>
      </c>
      <c r="D3">
        <v>29</v>
      </c>
      <c r="E3">
        <v>29</v>
      </c>
      <c r="F3">
        <v>29</v>
      </c>
      <c r="G3">
        <v>32</v>
      </c>
    </row>
    <row r="4" spans="1:7" x14ac:dyDescent="0.25">
      <c r="A4" t="s">
        <v>76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03088D047AB64EAEA44A429BC3F46D" ma:contentTypeVersion="14" ma:contentTypeDescription="Ein neues Dokument erstellen." ma:contentTypeScope="" ma:versionID="86258c35ac463f94ed95d137105e475d">
  <xsd:schema xmlns:xsd="http://www.w3.org/2001/XMLSchema" xmlns:xs="http://www.w3.org/2001/XMLSchema" xmlns:p="http://schemas.microsoft.com/office/2006/metadata/properties" xmlns:ns2="f63a10cf-b60d-414c-a6e7-85171e0b5a63" xmlns:ns3="0f04efbe-4d8c-4232-a09e-fdac9871e061" targetNamespace="http://schemas.microsoft.com/office/2006/metadata/properties" ma:root="true" ma:fieldsID="9a585fcb94f1358ca3038f03c9c2a2ec" ns2:_="" ns3:_="">
    <xsd:import namespace="f63a10cf-b60d-414c-a6e7-85171e0b5a63"/>
    <xsd:import namespace="0f04efbe-4d8c-4232-a09e-fdac9871e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a10cf-b60d-414c-a6e7-85171e0b5a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6e7e4f7-2791-4bee-a137-fcf627f30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4efbe-4d8c-4232-a09e-fdac9871e0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e33e58-ee00-4bb2-b3cd-39374ebccbf4}" ma:internalName="TaxCatchAll" ma:showField="CatchAllData" ma:web="0f04efbe-4d8c-4232-a09e-fdac9871e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D88741-BD6C-4851-A025-6AF5C88BE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3a10cf-b60d-414c-a6e7-85171e0b5a63"/>
    <ds:schemaRef ds:uri="0f04efbe-4d8c-4232-a09e-fdac9871e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C42E13-E7E1-4855-84EC-59274D2788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2.2 Kandidaten</vt:lpstr>
      <vt:lpstr>Kandidaten Jahre 1992 - 2020</vt:lpstr>
      <vt:lpstr>3 Stimmbeteiligung</vt:lpstr>
      <vt:lpstr>6 Gültige WZ</vt:lpstr>
      <vt:lpstr>6 Anteil unverändert Parteien</vt:lpstr>
      <vt:lpstr>6.2 Freie Listen</vt:lpstr>
      <vt:lpstr>6.2.1 Freie Liste - Verteilung</vt:lpstr>
      <vt:lpstr>722 Verteilung Gden</vt:lpstr>
      <vt:lpstr>8.1 Panaschieren</vt:lpstr>
      <vt:lpstr>8.2 Kumulieren</vt:lpstr>
      <vt:lpstr>8.3 Kumulierung fremde Listen</vt:lpstr>
      <vt:lpstr>9 Wahlresultate pro Person</vt:lpstr>
      <vt:lpstr>Amtsperioden</vt:lpstr>
      <vt:lpstr>4 Mandatsverteilung</vt:lpstr>
      <vt:lpstr>Tabelle1</vt:lpstr>
    </vt:vector>
  </TitlesOfParts>
  <Company>Kantonale Verwaltung 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Zurfluh</dc:creator>
  <cp:lastModifiedBy>Beyn, JanMoritz</cp:lastModifiedBy>
  <cp:lastPrinted>2020-05-06T16:35:22Z</cp:lastPrinted>
  <dcterms:created xsi:type="dcterms:W3CDTF">2008-02-26T09:28:23Z</dcterms:created>
  <dcterms:modified xsi:type="dcterms:W3CDTF">2026-09-11T09:25:33Z</dcterms:modified>
</cp:coreProperties>
</file>
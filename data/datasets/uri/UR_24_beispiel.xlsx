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itz\Desktop\semester_6\BA\BA_Thesis\data\datasets\"/>
    </mc:Choice>
  </mc:AlternateContent>
  <xr:revisionPtr revIDLastSave="0" documentId="8_{A07AE619-2B84-4EB4-92D7-5B6F638E3D73}" xr6:coauthVersionLast="47" xr6:coauthVersionMax="47" xr10:uidLastSave="{00000000-0000-0000-0000-000000000000}"/>
  <bookViews>
    <workbookView xWindow="-110" yWindow="-110" windowWidth="19420" windowHeight="11500" xr2:uid="{A6D6FD58-BABA-4C76-B2FD-B99378555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1" l="1"/>
  <c r="E48" i="1"/>
  <c r="D48" i="1"/>
  <c r="C48" i="1"/>
  <c r="G24" i="1"/>
  <c r="G25" i="1"/>
  <c r="G26" i="1"/>
  <c r="G27" i="1"/>
  <c r="G23" i="1"/>
  <c r="E38" i="1"/>
  <c r="D38" i="1"/>
  <c r="B38" i="1"/>
  <c r="C36" i="1"/>
  <c r="C38" i="1" s="1"/>
  <c r="B29" i="1"/>
  <c r="E28" i="1"/>
  <c r="E29" i="1" s="1"/>
  <c r="D28" i="1"/>
  <c r="D29" i="1" s="1"/>
  <c r="B28" i="1"/>
  <c r="C7" i="1"/>
  <c r="C9" i="1" s="1"/>
  <c r="D7" i="1"/>
  <c r="D9" i="1" s="1"/>
  <c r="E7" i="1"/>
  <c r="E9" i="1" s="1"/>
  <c r="D14" i="1" s="1"/>
  <c r="I14" i="1" s="1"/>
  <c r="F7" i="1"/>
  <c r="F9" i="1" s="1"/>
  <c r="E13" i="1" s="1"/>
  <c r="B7" i="1"/>
  <c r="J13" i="1" l="1"/>
  <c r="E16" i="1"/>
  <c r="J16" i="1" s="1"/>
  <c r="E15" i="1"/>
  <c r="J15" i="1" s="1"/>
  <c r="D13" i="1"/>
  <c r="D17" i="1"/>
  <c r="I17" i="1" s="1"/>
  <c r="D16" i="1"/>
  <c r="I16" i="1" s="1"/>
  <c r="D15" i="1"/>
  <c r="E17" i="1"/>
  <c r="J17" i="1" s="1"/>
  <c r="E14" i="1"/>
  <c r="J14" i="1" s="1"/>
  <c r="C14" i="1"/>
  <c r="H14" i="1" s="1"/>
  <c r="C15" i="1"/>
  <c r="H15" i="1" s="1"/>
  <c r="C16" i="1"/>
  <c r="H16" i="1" s="1"/>
  <c r="C17" i="1"/>
  <c r="H17" i="1" s="1"/>
  <c r="C13" i="1"/>
  <c r="H13" i="1" s="1"/>
  <c r="B13" i="1"/>
  <c r="G13" i="1" s="1"/>
  <c r="B14" i="1"/>
  <c r="G14" i="1" s="1"/>
  <c r="B15" i="1"/>
  <c r="G15" i="1" s="1"/>
  <c r="B16" i="1"/>
  <c r="G16" i="1" s="1"/>
  <c r="B17" i="1"/>
  <c r="G17" i="1" s="1"/>
  <c r="D18" i="1" l="1"/>
  <c r="D19" i="1" s="1"/>
  <c r="I13" i="1"/>
  <c r="C18" i="1"/>
  <c r="C19" i="1" s="1"/>
  <c r="C26" i="1"/>
  <c r="C28" i="1" s="1"/>
  <c r="C29" i="1" s="1"/>
  <c r="I15" i="1"/>
  <c r="E18" i="1"/>
  <c r="E19" i="1" s="1"/>
  <c r="B18" i="1"/>
  <c r="B19" i="1" s="1"/>
</calcChain>
</file>

<file path=xl/sharedStrings.xml><?xml version="1.0" encoding="utf-8"?>
<sst xmlns="http://schemas.openxmlformats.org/spreadsheetml/2006/main" count="71" uniqueCount="22">
  <si>
    <t>CVP</t>
  </si>
  <si>
    <t>SPGB</t>
  </si>
  <si>
    <t>FDP</t>
  </si>
  <si>
    <t>GLP</t>
  </si>
  <si>
    <t>SVP</t>
  </si>
  <si>
    <t>Listengruppe</t>
  </si>
  <si>
    <t>Stimmentotal</t>
  </si>
  <si>
    <t>Altdorf</t>
  </si>
  <si>
    <t>Bürglen</t>
  </si>
  <si>
    <t>Erstfeld</t>
  </si>
  <si>
    <t>Schattdorf</t>
  </si>
  <si>
    <t>Summe</t>
  </si>
  <si>
    <t>Sitze</t>
  </si>
  <si>
    <t>Sitze HB</t>
  </si>
  <si>
    <t>Grundverteilung</t>
  </si>
  <si>
    <t>Verteilungszahl</t>
  </si>
  <si>
    <t>Missing</t>
  </si>
  <si>
    <t>Höchstzahlen 1</t>
  </si>
  <si>
    <t>Verteilung nach Höchstzahlen 1</t>
  </si>
  <si>
    <t>Höchstzahlen 2</t>
  </si>
  <si>
    <t>Verteilung nach Höchstzahlen 2</t>
  </si>
  <si>
    <t>Verteilung nach Pukelsheimer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</si>
</sst>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00B05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UNISG PPT">
  <a:themeElements>
    <a:clrScheme name="uni stgallen Colors">
      <a:dk1>
        <a:sysClr val="windowText" lastClr="000000"/>
      </a:dk1>
      <a:lt1>
        <a:sysClr val="window" lastClr="FFFFFF"/>
      </a:lt1>
      <a:dk2>
        <a:srgbClr val="0A5F2D"/>
      </a:dk2>
      <a:lt2>
        <a:srgbClr val="FFFFFF"/>
      </a:lt2>
      <a:accent1>
        <a:srgbClr val="00802F"/>
      </a:accent1>
      <a:accent2>
        <a:srgbClr val="E1D7C3"/>
      </a:accent2>
      <a:accent3>
        <a:srgbClr val="EB6969"/>
      </a:accent3>
      <a:accent4>
        <a:srgbClr val="73A5AF"/>
      </a:accent4>
      <a:accent5>
        <a:srgbClr val="FFF04B"/>
      </a:accent5>
      <a:accent6>
        <a:srgbClr val="0A5F2D"/>
      </a:accent6>
      <a:hlink>
        <a:srgbClr val="00802F"/>
      </a:hlink>
      <a:folHlink>
        <a:srgbClr val="0A5F2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UNISG PPT" id="{A4799838-3511-42D6-8A89-C467FDD7C9EC}" vid="{BD965B23-97E5-4ABA-AE49-0AF068748F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C9A4-50BE-496C-B8D0-1CBB038FD110}">
  <dimension ref="A1:J48"/>
  <sheetViews>
    <sheetView tabSelected="1" topLeftCell="A8" zoomScale="50" zoomScaleNormal="100" workbookViewId="0">
      <selection activeCell="F49" sqref="F49"/>
    </sheetView>
  </sheetViews>
  <sheetFormatPr defaultColWidth="9" defaultRowHeight="14" x14ac:dyDescent="0.3"/>
  <cols>
    <col min="1" max="8" width="9.75" customWidth="1"/>
  </cols>
  <sheetData>
    <row r="1" spans="1:10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10" x14ac:dyDescent="0.3">
      <c r="A2" t="s">
        <v>0</v>
      </c>
      <c r="B2">
        <v>27957</v>
      </c>
      <c r="C2">
        <v>16500</v>
      </c>
      <c r="D2">
        <v>2872</v>
      </c>
      <c r="E2">
        <v>1878</v>
      </c>
      <c r="F2">
        <v>6707</v>
      </c>
    </row>
    <row r="3" spans="1:10" x14ac:dyDescent="0.3">
      <c r="A3" t="s">
        <v>1</v>
      </c>
      <c r="B3">
        <v>16488</v>
      </c>
      <c r="C3">
        <v>10578</v>
      </c>
      <c r="D3">
        <v>1395</v>
      </c>
      <c r="E3">
        <v>2157</v>
      </c>
      <c r="F3">
        <v>2358</v>
      </c>
    </row>
    <row r="4" spans="1:10" x14ac:dyDescent="0.3">
      <c r="A4" t="s">
        <v>2</v>
      </c>
      <c r="B4">
        <v>15483</v>
      </c>
      <c r="C4">
        <v>8936</v>
      </c>
      <c r="D4">
        <v>1601</v>
      </c>
      <c r="E4">
        <v>1554</v>
      </c>
      <c r="F4">
        <v>3392</v>
      </c>
    </row>
    <row r="5" spans="1:10" x14ac:dyDescent="0.3">
      <c r="A5" t="s">
        <v>3</v>
      </c>
      <c r="B5">
        <v>8592</v>
      </c>
      <c r="C5">
        <v>6468</v>
      </c>
      <c r="D5">
        <v>1219</v>
      </c>
      <c r="E5">
        <v>0</v>
      </c>
      <c r="F5">
        <v>905</v>
      </c>
    </row>
    <row r="6" spans="1:10" x14ac:dyDescent="0.3">
      <c r="A6" t="s">
        <v>4</v>
      </c>
      <c r="B6">
        <v>18885</v>
      </c>
      <c r="C6">
        <v>8898</v>
      </c>
      <c r="D6">
        <v>3801</v>
      </c>
      <c r="E6">
        <v>2032</v>
      </c>
      <c r="F6">
        <v>4154</v>
      </c>
    </row>
    <row r="7" spans="1:10" x14ac:dyDescent="0.3">
      <c r="A7" t="s">
        <v>11</v>
      </c>
      <c r="B7">
        <f>SUM(B2:B6)</f>
        <v>87405</v>
      </c>
      <c r="C7">
        <f t="shared" ref="C7:F7" si="0">SUM(C2:C6)</f>
        <v>51380</v>
      </c>
      <c r="D7">
        <f t="shared" si="0"/>
        <v>10888</v>
      </c>
      <c r="E7">
        <f t="shared" si="0"/>
        <v>7621</v>
      </c>
      <c r="F7">
        <f t="shared" si="0"/>
        <v>17516</v>
      </c>
    </row>
    <row r="8" spans="1:10" x14ac:dyDescent="0.3">
      <c r="A8" t="s">
        <v>12</v>
      </c>
      <c r="C8">
        <v>15</v>
      </c>
      <c r="D8">
        <v>7</v>
      </c>
      <c r="E8">
        <v>6</v>
      </c>
      <c r="F8">
        <v>9</v>
      </c>
    </row>
    <row r="9" spans="1:10" x14ac:dyDescent="0.3">
      <c r="A9" t="s">
        <v>15</v>
      </c>
      <c r="C9">
        <f>C$7/(C$8+1)</f>
        <v>3211.25</v>
      </c>
      <c r="D9">
        <f t="shared" ref="D9:F9" si="1">D$7/(D$8+1)</f>
        <v>1361</v>
      </c>
      <c r="E9">
        <f t="shared" si="1"/>
        <v>1088.7142857142858</v>
      </c>
      <c r="F9">
        <f t="shared" si="1"/>
        <v>1751.6</v>
      </c>
    </row>
    <row r="11" spans="1:10" x14ac:dyDescent="0.3">
      <c r="A11" t="s">
        <v>14</v>
      </c>
      <c r="G11" t="s">
        <v>17</v>
      </c>
    </row>
    <row r="12" spans="1:10" x14ac:dyDescent="0.3">
      <c r="A12" t="s">
        <v>13</v>
      </c>
      <c r="B12" t="s">
        <v>7</v>
      </c>
      <c r="C12" t="s">
        <v>8</v>
      </c>
      <c r="D12" t="s">
        <v>9</v>
      </c>
      <c r="E12" t="s">
        <v>10</v>
      </c>
      <c r="G12" t="s">
        <v>7</v>
      </c>
      <c r="H12" t="s">
        <v>8</v>
      </c>
      <c r="I12" t="s">
        <v>9</v>
      </c>
      <c r="J12" t="s">
        <v>10</v>
      </c>
    </row>
    <row r="13" spans="1:10" x14ac:dyDescent="0.3">
      <c r="A13" t="s">
        <v>0</v>
      </c>
      <c r="B13">
        <f>ROUNDDOWN(C2/C$9,0)</f>
        <v>5</v>
      </c>
      <c r="C13">
        <f>ROUNDDOWN(D2/D$9,0)</f>
        <v>2</v>
      </c>
      <c r="D13">
        <f>ROUNDDOWN(E2/E$9,0)</f>
        <v>1</v>
      </c>
      <c r="E13">
        <f>ROUNDDOWN(F2/F$9,0)</f>
        <v>3</v>
      </c>
      <c r="G13">
        <f>C2/(B13+1)</f>
        <v>2750</v>
      </c>
      <c r="H13">
        <f>D2/(C13+1)</f>
        <v>957.33333333333337</v>
      </c>
      <c r="I13">
        <f>E2/(D13+1)</f>
        <v>939</v>
      </c>
      <c r="J13">
        <f>F2/(E13+1)</f>
        <v>1676.75</v>
      </c>
    </row>
    <row r="14" spans="1:10" x14ac:dyDescent="0.3">
      <c r="A14" t="s">
        <v>1</v>
      </c>
      <c r="B14">
        <f>ROUNDDOWN(C3/C$9,0)</f>
        <v>3</v>
      </c>
      <c r="C14">
        <f>ROUNDDOWN(D3/D$9,0)</f>
        <v>1</v>
      </c>
      <c r="D14">
        <f t="shared" ref="D14:E17" si="2">ROUNDDOWN(E3/E$9,0)</f>
        <v>1</v>
      </c>
      <c r="E14">
        <f t="shared" si="2"/>
        <v>1</v>
      </c>
      <c r="G14">
        <f t="shared" ref="G14:G17" si="3">C3/(B14+1)</f>
        <v>2644.5</v>
      </c>
      <c r="H14">
        <f t="shared" ref="H14:H17" si="4">D3/(C14+1)</f>
        <v>697.5</v>
      </c>
      <c r="I14" s="1">
        <f t="shared" ref="I14:I17" si="5">E3/(D14+1)</f>
        <v>1078.5</v>
      </c>
      <c r="J14">
        <f t="shared" ref="J14:J17" si="6">F3/(E14+1)</f>
        <v>1179</v>
      </c>
    </row>
    <row r="15" spans="1:10" x14ac:dyDescent="0.3">
      <c r="A15" t="s">
        <v>2</v>
      </c>
      <c r="B15">
        <f>ROUNDDOWN(C4/C$9,0)</f>
        <v>2</v>
      </c>
      <c r="C15">
        <f>ROUNDDOWN(D4/D$9,0)</f>
        <v>1</v>
      </c>
      <c r="D15">
        <f t="shared" si="2"/>
        <v>1</v>
      </c>
      <c r="E15">
        <f t="shared" si="2"/>
        <v>1</v>
      </c>
      <c r="G15" s="1">
        <f t="shared" si="3"/>
        <v>2978.6666666666665</v>
      </c>
      <c r="H15">
        <f t="shared" si="4"/>
        <v>800.5</v>
      </c>
      <c r="I15">
        <f t="shared" si="5"/>
        <v>777</v>
      </c>
      <c r="J15" s="1">
        <f t="shared" si="6"/>
        <v>1696</v>
      </c>
    </row>
    <row r="16" spans="1:10" x14ac:dyDescent="0.3">
      <c r="A16" t="s">
        <v>3</v>
      </c>
      <c r="B16">
        <f>ROUNDDOWN(C5/C$9,0)</f>
        <v>2</v>
      </c>
      <c r="C16">
        <f>ROUNDDOWN(D5/D$9,0)</f>
        <v>0</v>
      </c>
      <c r="D16">
        <f t="shared" si="2"/>
        <v>0</v>
      </c>
      <c r="E16">
        <f t="shared" si="2"/>
        <v>0</v>
      </c>
      <c r="G16">
        <f t="shared" si="3"/>
        <v>2156</v>
      </c>
      <c r="H16">
        <f t="shared" si="4"/>
        <v>1219</v>
      </c>
      <c r="I16">
        <f>E5/(D16+1)</f>
        <v>0</v>
      </c>
      <c r="J16">
        <f t="shared" si="6"/>
        <v>905</v>
      </c>
    </row>
    <row r="17" spans="1:10" x14ac:dyDescent="0.3">
      <c r="A17" t="s">
        <v>4</v>
      </c>
      <c r="B17">
        <f>ROUNDDOWN(C6/C$9,0)</f>
        <v>2</v>
      </c>
      <c r="C17">
        <f>ROUNDDOWN(D6/D$9,0)</f>
        <v>2</v>
      </c>
      <c r="D17">
        <f t="shared" si="2"/>
        <v>1</v>
      </c>
      <c r="E17">
        <f t="shared" si="2"/>
        <v>2</v>
      </c>
      <c r="G17">
        <f t="shared" si="3"/>
        <v>2966</v>
      </c>
      <c r="H17" s="1">
        <f t="shared" si="4"/>
        <v>1267</v>
      </c>
      <c r="I17">
        <f t="shared" si="5"/>
        <v>1016</v>
      </c>
      <c r="J17">
        <f t="shared" si="6"/>
        <v>1384.6666666666667</v>
      </c>
    </row>
    <row r="18" spans="1:10" x14ac:dyDescent="0.3">
      <c r="A18" t="s">
        <v>11</v>
      </c>
      <c r="B18">
        <f>SUM(B13:B17)</f>
        <v>14</v>
      </c>
      <c r="C18">
        <f t="shared" ref="C18:E18" si="7">SUM(C13:C17)</f>
        <v>6</v>
      </c>
      <c r="D18">
        <f t="shared" si="7"/>
        <v>4</v>
      </c>
      <c r="E18">
        <f t="shared" si="7"/>
        <v>7</v>
      </c>
    </row>
    <row r="19" spans="1:10" x14ac:dyDescent="0.3">
      <c r="A19" t="s">
        <v>16</v>
      </c>
      <c r="B19" s="1">
        <f>(C$8-B$18)</f>
        <v>1</v>
      </c>
      <c r="C19" s="1">
        <f t="shared" ref="C19:E19" si="8">(D$8-C$18)</f>
        <v>1</v>
      </c>
      <c r="D19" s="1">
        <f t="shared" si="8"/>
        <v>2</v>
      </c>
      <c r="E19" s="1">
        <f t="shared" si="8"/>
        <v>2</v>
      </c>
    </row>
    <row r="21" spans="1:10" x14ac:dyDescent="0.3">
      <c r="A21" t="s">
        <v>18</v>
      </c>
      <c r="G21" t="s">
        <v>19</v>
      </c>
    </row>
    <row r="22" spans="1:10" x14ac:dyDescent="0.3">
      <c r="A22" t="s">
        <v>13</v>
      </c>
      <c r="B22" t="s">
        <v>7</v>
      </c>
      <c r="C22" t="s">
        <v>8</v>
      </c>
      <c r="D22" t="s">
        <v>9</v>
      </c>
      <c r="E22" t="s">
        <v>10</v>
      </c>
      <c r="G22" t="s">
        <v>9</v>
      </c>
    </row>
    <row r="23" spans="1:10" x14ac:dyDescent="0.3">
      <c r="A23" t="s">
        <v>0</v>
      </c>
      <c r="B23">
        <v>5</v>
      </c>
      <c r="C23">
        <v>2</v>
      </c>
      <c r="D23">
        <v>1</v>
      </c>
      <c r="E23">
        <v>3</v>
      </c>
      <c r="G23" s="2">
        <f>E2/(D23+1)</f>
        <v>939</v>
      </c>
    </row>
    <row r="24" spans="1:10" x14ac:dyDescent="0.3">
      <c r="A24" t="s">
        <v>1</v>
      </c>
      <c r="B24">
        <v>3</v>
      </c>
      <c r="C24">
        <v>1</v>
      </c>
      <c r="D24">
        <v>2</v>
      </c>
      <c r="E24">
        <v>1</v>
      </c>
      <c r="G24" s="2">
        <f t="shared" ref="G24:G27" si="9">E3/(D24+1)</f>
        <v>719</v>
      </c>
    </row>
    <row r="25" spans="1:10" x14ac:dyDescent="0.3">
      <c r="A25" t="s">
        <v>2</v>
      </c>
      <c r="B25">
        <v>3</v>
      </c>
      <c r="C25">
        <v>1</v>
      </c>
      <c r="D25">
        <v>1</v>
      </c>
      <c r="E25">
        <v>2</v>
      </c>
      <c r="G25" s="2">
        <f t="shared" si="9"/>
        <v>777</v>
      </c>
    </row>
    <row r="26" spans="1:10" x14ac:dyDescent="0.3">
      <c r="A26" t="s">
        <v>3</v>
      </c>
      <c r="B26">
        <v>2</v>
      </c>
      <c r="C26">
        <f>ROUNDDOWN(D15/D$9,0)</f>
        <v>0</v>
      </c>
      <c r="D26">
        <v>0</v>
      </c>
      <c r="E26">
        <v>1</v>
      </c>
      <c r="G26" s="2">
        <f t="shared" si="9"/>
        <v>0</v>
      </c>
    </row>
    <row r="27" spans="1:10" x14ac:dyDescent="0.3">
      <c r="A27" t="s">
        <v>4</v>
      </c>
      <c r="B27">
        <v>2</v>
      </c>
      <c r="C27">
        <v>3</v>
      </c>
      <c r="D27">
        <v>1</v>
      </c>
      <c r="E27">
        <v>2</v>
      </c>
      <c r="G27" s="1">
        <f t="shared" si="9"/>
        <v>1016</v>
      </c>
    </row>
    <row r="28" spans="1:10" x14ac:dyDescent="0.3">
      <c r="A28" t="s">
        <v>11</v>
      </c>
      <c r="B28">
        <f>SUM(B23:B27)</f>
        <v>15</v>
      </c>
      <c r="C28">
        <f>SUM(C23:C27)</f>
        <v>7</v>
      </c>
      <c r="D28">
        <f>SUM(D23:D27)</f>
        <v>5</v>
      </c>
      <c r="E28">
        <f t="shared" ref="E28" si="10">SUM(E23:E27)</f>
        <v>9</v>
      </c>
    </row>
    <row r="29" spans="1:10" x14ac:dyDescent="0.3">
      <c r="A29" t="s">
        <v>16</v>
      </c>
      <c r="B29">
        <f>(C$8-B$28)</f>
        <v>0</v>
      </c>
      <c r="C29">
        <f t="shared" ref="C29:E29" si="11">(D$8-C$28)</f>
        <v>0</v>
      </c>
      <c r="D29">
        <f t="shared" si="11"/>
        <v>1</v>
      </c>
      <c r="E29">
        <f t="shared" si="11"/>
        <v>0</v>
      </c>
    </row>
    <row r="31" spans="1:10" x14ac:dyDescent="0.3">
      <c r="A31" s="3" t="s">
        <v>20</v>
      </c>
      <c r="B31" s="3"/>
      <c r="C31" s="3"/>
      <c r="D31" s="3"/>
      <c r="E31" s="3"/>
    </row>
    <row r="32" spans="1:10" x14ac:dyDescent="0.3">
      <c r="A32" s="3" t="s">
        <v>13</v>
      </c>
      <c r="B32" s="3" t="s">
        <v>7</v>
      </c>
      <c r="C32" s="3" t="s">
        <v>8</v>
      </c>
      <c r="D32" s="3" t="s">
        <v>9</v>
      </c>
      <c r="E32" s="3" t="s">
        <v>10</v>
      </c>
    </row>
    <row r="33" spans="1:5" x14ac:dyDescent="0.3">
      <c r="A33" s="3" t="s">
        <v>0</v>
      </c>
      <c r="B33" s="3">
        <v>5</v>
      </c>
      <c r="C33" s="3">
        <v>2</v>
      </c>
      <c r="D33" s="3">
        <v>1</v>
      </c>
      <c r="E33" s="3">
        <v>3</v>
      </c>
    </row>
    <row r="34" spans="1:5" x14ac:dyDescent="0.3">
      <c r="A34" s="3" t="s">
        <v>1</v>
      </c>
      <c r="B34" s="3">
        <v>3</v>
      </c>
      <c r="C34" s="3">
        <v>1</v>
      </c>
      <c r="D34" s="3">
        <v>2</v>
      </c>
      <c r="E34" s="3">
        <v>1</v>
      </c>
    </row>
    <row r="35" spans="1:5" x14ac:dyDescent="0.3">
      <c r="A35" s="3" t="s">
        <v>2</v>
      </c>
      <c r="B35" s="3">
        <v>3</v>
      </c>
      <c r="C35" s="3">
        <v>1</v>
      </c>
      <c r="D35" s="3">
        <v>1</v>
      </c>
      <c r="E35" s="3">
        <v>2</v>
      </c>
    </row>
    <row r="36" spans="1:5" x14ac:dyDescent="0.3">
      <c r="A36" s="3" t="s">
        <v>3</v>
      </c>
      <c r="B36" s="3">
        <v>2</v>
      </c>
      <c r="C36" s="3">
        <f>ROUNDDOWN(D25/D$9,0)</f>
        <v>0</v>
      </c>
      <c r="D36" s="3">
        <v>0</v>
      </c>
      <c r="E36" s="3">
        <v>1</v>
      </c>
    </row>
    <row r="37" spans="1:5" x14ac:dyDescent="0.3">
      <c r="A37" s="3" t="s">
        <v>4</v>
      </c>
      <c r="B37" s="3">
        <v>2</v>
      </c>
      <c r="C37" s="3">
        <v>3</v>
      </c>
      <c r="D37" s="3">
        <v>2</v>
      </c>
      <c r="E37" s="3">
        <v>2</v>
      </c>
    </row>
    <row r="38" spans="1:5" x14ac:dyDescent="0.3">
      <c r="A38" s="3" t="s">
        <v>11</v>
      </c>
      <c r="B38" s="3">
        <f>SUM(B33:B37)</f>
        <v>15</v>
      </c>
      <c r="C38" s="3">
        <f>SUM(C33:C37)</f>
        <v>7</v>
      </c>
      <c r="D38" s="3">
        <f>SUM(D33:D37)</f>
        <v>6</v>
      </c>
      <c r="E38" s="3">
        <f>SUM(E33:E37)</f>
        <v>9</v>
      </c>
    </row>
    <row r="41" spans="1:5" x14ac:dyDescent="0.3">
      <c r="A41" s="4" t="s">
        <v>21</v>
      </c>
      <c r="B41" s="4"/>
      <c r="C41" s="4"/>
      <c r="D41" s="4"/>
      <c r="E41" s="4"/>
    </row>
    <row r="42" spans="1:5" x14ac:dyDescent="0.3">
      <c r="A42" s="4" t="s">
        <v>13</v>
      </c>
      <c r="B42" s="4" t="s">
        <v>7</v>
      </c>
      <c r="C42" s="4" t="s">
        <v>8</v>
      </c>
      <c r="D42" s="4" t="s">
        <v>9</v>
      </c>
      <c r="E42" s="4" t="s">
        <v>10</v>
      </c>
    </row>
    <row r="43" spans="1:5" x14ac:dyDescent="0.3">
      <c r="A43" s="4" t="s">
        <v>0</v>
      </c>
      <c r="B43" s="5">
        <v>4</v>
      </c>
      <c r="C43" s="4">
        <v>2</v>
      </c>
      <c r="D43" s="4">
        <v>1</v>
      </c>
      <c r="E43" s="5">
        <v>4</v>
      </c>
    </row>
    <row r="44" spans="1:5" x14ac:dyDescent="0.3">
      <c r="A44" s="4" t="s">
        <v>1</v>
      </c>
      <c r="B44" s="4">
        <v>3</v>
      </c>
      <c r="C44" s="4">
        <v>1</v>
      </c>
      <c r="D44" s="4">
        <v>2</v>
      </c>
      <c r="E44" s="4">
        <v>1</v>
      </c>
    </row>
    <row r="45" spans="1:5" x14ac:dyDescent="0.3">
      <c r="A45" s="4" t="s">
        <v>2</v>
      </c>
      <c r="B45" s="4">
        <v>3</v>
      </c>
      <c r="C45" s="4">
        <v>1</v>
      </c>
      <c r="D45" s="4">
        <v>1</v>
      </c>
      <c r="E45" s="4">
        <v>2</v>
      </c>
    </row>
    <row r="46" spans="1:5" x14ac:dyDescent="0.3">
      <c r="A46" s="4" t="s">
        <v>3</v>
      </c>
      <c r="B46" s="4">
        <v>2</v>
      </c>
      <c r="C46" s="5">
        <v>1</v>
      </c>
      <c r="D46" s="4">
        <v>0</v>
      </c>
      <c r="E46" s="5">
        <v>0</v>
      </c>
    </row>
    <row r="47" spans="1:5" x14ac:dyDescent="0.3">
      <c r="A47" s="4" t="s">
        <v>4</v>
      </c>
      <c r="B47" s="5">
        <v>3</v>
      </c>
      <c r="C47" s="5">
        <v>2</v>
      </c>
      <c r="D47" s="4">
        <v>2</v>
      </c>
      <c r="E47" s="4">
        <v>2</v>
      </c>
    </row>
    <row r="48" spans="1:5" x14ac:dyDescent="0.3">
      <c r="A48" s="4" t="s">
        <v>11</v>
      </c>
      <c r="B48" s="4">
        <f>SUM(B43:B47)</f>
        <v>15</v>
      </c>
      <c r="C48" s="4">
        <f>SUM(C43:C47)</f>
        <v>7</v>
      </c>
      <c r="D48" s="4">
        <f>SUM(D43:D47)</f>
        <v>6</v>
      </c>
      <c r="E48" s="4">
        <f>SUM(E43:E47)</f>
        <v>9</v>
      </c>
    </row>
  </sheetData>
  <pageMargins left="0.78740157480314965" right="0.78740157480314965" top="0.94488188976377963" bottom="0.39370078740157483" header="0.19685039370078741" footer="0.19685039370078741"/>
  <pageSetup paperSize="9" orientation="portrait" horizontalDpi="1200" verticalDpi="1200" r:id="rId1"/>
  <headerFooter>
    <oddHeader>&amp;L&amp;G</oddHeader>
    <oddFooter>&amp;R&amp;P/&amp;N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c8a24f-8b40-44ca-950f-ae5db2c4fa23">
      <Terms xmlns="http://schemas.microsoft.com/office/infopath/2007/PartnerControls"/>
    </lcf76f155ced4ddcb4097134ff3c332f>
    <TaxCatchAll xmlns="71d337dc-809a-4269-a690-d6cd31b4acd0" xsi:nil="true"/>
  </documentManagement>
</p:properties>
</file>

<file path=customXml/item3.xml><?xml version="1.0" encoding="utf-8"?>
<TemplafyTemplateConfiguration><![CDATA[{"transformationConfigurations":[],"templateName":"UNISG Excel hoch","templateDescription":"","enableDocumentContentUpdater":false,"version":"2.0"}]]></TemplafyTemplateConfiguration>
</file>

<file path=customXml/item4.xml><?xml version="1.0" encoding="utf-8"?>
<TemplafyFormConfiguration><![CDATA[{"formFields":[],"formDataEntries":[]}]]></TemplafyFormConfiguration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C2EED3AEDAB24AB48AF05A7A255DF4" ma:contentTypeVersion="21" ma:contentTypeDescription="Create a new document." ma:contentTypeScope="" ma:versionID="274d9017fadbcc8b67afbe4b22a55600">
  <xsd:schema xmlns:xsd="http://www.w3.org/2001/XMLSchema" xmlns:xs="http://www.w3.org/2001/XMLSchema" xmlns:p="http://schemas.microsoft.com/office/2006/metadata/properties" xmlns:ns2="07c8a24f-8b40-44ca-950f-ae5db2c4fa23" xmlns:ns3="71d337dc-809a-4269-a690-d6cd31b4acd0" targetNamespace="http://schemas.microsoft.com/office/2006/metadata/properties" ma:root="true" ma:fieldsID="0b58614a3de855f8a451fa93eb2e43b4" ns2:_="" ns3:_="">
    <xsd:import namespace="07c8a24f-8b40-44ca-950f-ae5db2c4fa23"/>
    <xsd:import namespace="71d337dc-809a-4269-a690-d6cd31b4ac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8a24f-8b40-44ca-950f-ae5db2c4f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a650111-7fb8-408c-8449-112adb6e2e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337dc-809a-4269-a690-d6cd31b4acd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f3f5698-4e7b-49a9-bf00-a8b38c5133ff}" ma:internalName="TaxCatchAll" ma:showField="CatchAllData" ma:web="71d337dc-809a-4269-a690-d6cd31b4ac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0B089E-410A-4C91-B0A8-BAA2927F78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02BB93-0A85-478E-910B-252B9B8A5C15}">
  <ds:schemaRefs>
    <ds:schemaRef ds:uri="http://schemas.microsoft.com/office/2006/metadata/properties"/>
    <ds:schemaRef ds:uri="http://schemas.microsoft.com/office/infopath/2007/PartnerControls"/>
    <ds:schemaRef ds:uri="07c8a24f-8b40-44ca-950f-ae5db2c4fa23"/>
    <ds:schemaRef ds:uri="71d337dc-809a-4269-a690-d6cd31b4acd0"/>
  </ds:schemaRefs>
</ds:datastoreItem>
</file>

<file path=customXml/itemProps3.xml><?xml version="1.0" encoding="utf-8"?>
<ds:datastoreItem xmlns:ds="http://schemas.openxmlformats.org/officeDocument/2006/customXml" ds:itemID="{0A4F7B3D-00BA-4EC3-B5E5-E2B2297DE47E}">
  <ds:schemaRefs/>
</ds:datastoreItem>
</file>

<file path=customXml/itemProps4.xml><?xml version="1.0" encoding="utf-8"?>
<ds:datastoreItem xmlns:ds="http://schemas.openxmlformats.org/officeDocument/2006/customXml" ds:itemID="{62C84976-48B0-49F1-88C9-1A6F278B1636}">
  <ds:schemaRefs/>
</ds:datastoreItem>
</file>

<file path=customXml/itemProps5.xml><?xml version="1.0" encoding="utf-8"?>
<ds:datastoreItem xmlns:ds="http://schemas.openxmlformats.org/officeDocument/2006/customXml" ds:itemID="{F268B634-479A-4DE9-9C23-26EB34AB52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c8a24f-8b40-44ca-950f-ae5db2c4fa23"/>
    <ds:schemaRef ds:uri="71d337dc-809a-4269-a690-d6cd31b4ac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Beyn, JanMoritz</dc:creator>
  <cp:lastModifiedBy>Beyn, JanMoritz</cp:lastModifiedBy>
  <dcterms:created xsi:type="dcterms:W3CDTF">2026-04-07T16:24:24Z</dcterms:created>
  <dcterms:modified xsi:type="dcterms:W3CDTF">2026-04-24T14:57:39Z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0x01010034C2EED3AEDAB24AB48AF05A7A255DF4</vt:lpwstr>
  </property>
  <property fmtid="{D5CDD505-2E9C-101B-9397-08002B2CF9AE}" pid="3" name="MediaServiceImageTags">
    <vt:lpwstr/>
  </property>
  <property fmtid="{D5CDD505-2E9C-101B-9397-08002B2CF9AE}" pid="4" name="TemplafyTenantId">
    <vt:lpwstr>unisg</vt:lpwstr>
  </property>
  <property fmtid="{D5CDD505-2E9C-101B-9397-08002B2CF9AE}" pid="5" name="TemplafyTemplateId">
    <vt:lpwstr>638064253589747029</vt:lpwstr>
  </property>
  <property fmtid="{D5CDD505-2E9C-101B-9397-08002B2CF9AE}" pid="6" name="TemplafyUserProfileId">
    <vt:lpwstr>816793704994177030</vt:lpwstr>
  </property>
  <property fmtid="{D5CDD505-2E9C-101B-9397-08002B2CF9AE}" pid="7" name="TemplafyLanguageCode">
    <vt:lpwstr>en-GB</vt:lpwstr>
  </property>
  <property fmtid="{D5CDD505-2E9C-101B-9397-08002B2CF9AE}" pid="8" name="TemplafyFromBlank">
    <vt:bool>true</vt:bool>
  </property>
</Properties>
</file>
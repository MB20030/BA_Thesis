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Y:\LA\Alle\Abstimmung\2020\08.03.2020 Kantonale Wahlen\Stat. Auswertung LR-Wahlen\Erstfeld\"/>
    </mc:Choice>
  </mc:AlternateContent>
  <bookViews>
    <workbookView xWindow="480" yWindow="75" windowWidth="16380" windowHeight="9345"/>
  </bookViews>
  <sheets>
    <sheet name="Ausw. Altdorf" sheetId="2" r:id="rId1"/>
  </sheets>
  <definedNames>
    <definedName name="Felber">#REF!</definedName>
  </definedNames>
  <calcPr calcId="162913"/>
</workbook>
</file>

<file path=xl/calcChain.xml><?xml version="1.0" encoding="utf-8"?>
<calcChain xmlns="http://schemas.openxmlformats.org/spreadsheetml/2006/main">
  <c r="F35" i="2" l="1"/>
  <c r="H35" i="2" l="1"/>
  <c r="S35" i="2"/>
  <c r="T35" i="2"/>
  <c r="U35" i="2"/>
  <c r="V35" i="2"/>
  <c r="D35" i="2"/>
  <c r="G35" i="2"/>
  <c r="I35" i="2"/>
  <c r="G23" i="2"/>
  <c r="G10" i="2"/>
  <c r="W32" i="2"/>
  <c r="Q32" i="2"/>
  <c r="M32" i="2"/>
  <c r="J32" i="2"/>
  <c r="W33" i="2"/>
  <c r="N33" i="2" s="1"/>
  <c r="Q33" i="2"/>
  <c r="M33" i="2"/>
  <c r="J33" i="2"/>
  <c r="W31" i="2"/>
  <c r="N31" i="2" s="1"/>
  <c r="Q31" i="2"/>
  <c r="M31" i="2"/>
  <c r="J31" i="2"/>
  <c r="E31" i="2"/>
  <c r="V29" i="2"/>
  <c r="U29" i="2"/>
  <c r="T29" i="2"/>
  <c r="S29" i="2"/>
  <c r="T10" i="2"/>
  <c r="T3" i="2"/>
  <c r="U3" i="2"/>
  <c r="V3" i="2"/>
  <c r="T23" i="2"/>
  <c r="V16" i="2"/>
  <c r="T16" i="2"/>
  <c r="U16" i="2"/>
  <c r="T47" i="2"/>
  <c r="T41" i="2"/>
  <c r="U41" i="2"/>
  <c r="V41" i="2"/>
  <c r="G47" i="2"/>
  <c r="E20" i="2"/>
  <c r="J20" i="2"/>
  <c r="M20" i="2"/>
  <c r="Q20" i="2"/>
  <c r="W20" i="2"/>
  <c r="N20" i="2" s="1"/>
  <c r="J18" i="2"/>
  <c r="M18" i="2"/>
  <c r="Q18" i="2"/>
  <c r="W18" i="2"/>
  <c r="N18" i="2" s="1"/>
  <c r="J21" i="2"/>
  <c r="M21" i="2"/>
  <c r="Q21" i="2"/>
  <c r="W21" i="2"/>
  <c r="N21" i="2" s="1"/>
  <c r="D23" i="2"/>
  <c r="F23" i="2"/>
  <c r="H23" i="2"/>
  <c r="I23" i="2"/>
  <c r="S23" i="2"/>
  <c r="U23" i="2"/>
  <c r="V23" i="2"/>
  <c r="S41" i="2"/>
  <c r="E43" i="2"/>
  <c r="J43" i="2"/>
  <c r="M43" i="2"/>
  <c r="Q43" i="2"/>
  <c r="W43" i="2"/>
  <c r="N43" i="2" s="1"/>
  <c r="J45" i="2"/>
  <c r="M45" i="2"/>
  <c r="Q45" i="2"/>
  <c r="W45" i="2"/>
  <c r="N45" i="2" s="1"/>
  <c r="J44" i="2"/>
  <c r="M44" i="2"/>
  <c r="Q44" i="2"/>
  <c r="W44" i="2"/>
  <c r="N44" i="2" s="1"/>
  <c r="D47" i="2"/>
  <c r="F47" i="2"/>
  <c r="H47" i="2"/>
  <c r="I47" i="2"/>
  <c r="S47" i="2"/>
  <c r="U47" i="2"/>
  <c r="V47" i="2"/>
  <c r="M5" i="2"/>
  <c r="Q5" i="2"/>
  <c r="W5" i="2"/>
  <c r="N5" i="2" s="1"/>
  <c r="M7" i="2"/>
  <c r="Q7" i="2"/>
  <c r="W7" i="2"/>
  <c r="N7" i="2" s="1"/>
  <c r="M6" i="2"/>
  <c r="Q6" i="2"/>
  <c r="W6" i="2"/>
  <c r="N6" i="2" s="1"/>
  <c r="J5" i="2"/>
  <c r="J7" i="2"/>
  <c r="E6" i="2"/>
  <c r="J6" i="2"/>
  <c r="W19" i="2"/>
  <c r="N19" i="2" s="1"/>
  <c r="J19" i="2"/>
  <c r="W8" i="2"/>
  <c r="N8" i="2" s="1"/>
  <c r="J8" i="2"/>
  <c r="S3" i="2"/>
  <c r="S16" i="2"/>
  <c r="S10" i="2"/>
  <c r="U10" i="2"/>
  <c r="V10" i="2"/>
  <c r="Q19" i="2"/>
  <c r="Q8" i="2"/>
  <c r="M8" i="2"/>
  <c r="M19" i="2"/>
  <c r="F10" i="2"/>
  <c r="H10" i="2"/>
  <c r="I10" i="2"/>
  <c r="D10" i="2"/>
  <c r="E5" i="2" l="1"/>
  <c r="B5" i="2" s="1"/>
  <c r="R5" i="2" s="1"/>
  <c r="E18" i="2"/>
  <c r="B18" i="2" s="1"/>
  <c r="R18" i="2" s="1"/>
  <c r="X18" i="2" s="1"/>
  <c r="E19" i="2"/>
  <c r="B19" i="2" s="1"/>
  <c r="O19" i="2" s="1"/>
  <c r="E44" i="2"/>
  <c r="B44" i="2" s="1"/>
  <c r="K44" i="2" s="1"/>
  <c r="E32" i="2"/>
  <c r="B32" i="2" s="1"/>
  <c r="R32" i="2" s="1"/>
  <c r="X32" i="2" s="1"/>
  <c r="E8" i="2"/>
  <c r="B8" i="2" s="1"/>
  <c r="K8" i="2" s="1"/>
  <c r="E7" i="2"/>
  <c r="B7" i="2" s="1"/>
  <c r="O7" i="2" s="1"/>
  <c r="B20" i="2"/>
  <c r="R20" i="2" s="1"/>
  <c r="X20" i="2" s="1"/>
  <c r="B31" i="2"/>
  <c r="K31" i="2" s="1"/>
  <c r="B6" i="2"/>
  <c r="K6" i="2" s="1"/>
  <c r="J23" i="2"/>
  <c r="W23" i="2"/>
  <c r="J10" i="2"/>
  <c r="W47" i="2"/>
  <c r="W35" i="2"/>
  <c r="J47" i="2"/>
  <c r="N10" i="2"/>
  <c r="J35" i="2"/>
  <c r="W10" i="2"/>
  <c r="B43" i="2"/>
  <c r="N23" i="2"/>
  <c r="N32" i="2"/>
  <c r="E21" i="2" l="1"/>
  <c r="B21" i="2" s="1"/>
  <c r="K21" i="2" s="1"/>
  <c r="R44" i="2"/>
  <c r="X44" i="2" s="1"/>
  <c r="E45" i="2"/>
  <c r="B45" i="2" s="1"/>
  <c r="O44" i="2"/>
  <c r="K18" i="2"/>
  <c r="O18" i="2"/>
  <c r="R31" i="2"/>
  <c r="X31" i="2" s="1"/>
  <c r="O31" i="2"/>
  <c r="E33" i="2"/>
  <c r="K20" i="2"/>
  <c r="O20" i="2"/>
  <c r="R8" i="2"/>
  <c r="X8" i="2" s="1"/>
  <c r="O6" i="2"/>
  <c r="K7" i="2"/>
  <c r="R7" i="2"/>
  <c r="X7" i="2" s="1"/>
  <c r="R19" i="2"/>
  <c r="X19" i="2" s="1"/>
  <c r="K19" i="2"/>
  <c r="R6" i="2"/>
  <c r="X6" i="2" s="1"/>
  <c r="K5" i="2"/>
  <c r="O5" i="2"/>
  <c r="O8" i="2"/>
  <c r="K32" i="2"/>
  <c r="X5" i="2"/>
  <c r="N47" i="2"/>
  <c r="O32" i="2"/>
  <c r="R43" i="2"/>
  <c r="K43" i="2"/>
  <c r="N35" i="2"/>
  <c r="O43" i="2"/>
  <c r="O21" i="2" l="1"/>
  <c r="R21" i="2"/>
  <c r="X21" i="2" s="1"/>
  <c r="K45" i="2"/>
  <c r="R45" i="2"/>
  <c r="X45" i="2" s="1"/>
  <c r="O45" i="2"/>
  <c r="B33" i="2"/>
  <c r="C10" i="2"/>
  <c r="X43" i="2"/>
  <c r="K33" i="2" l="1"/>
  <c r="O33" i="2"/>
  <c r="R33" i="2"/>
  <c r="E10" i="2"/>
  <c r="B10" i="2"/>
  <c r="X33" i="2" l="1"/>
  <c r="C23" i="2"/>
  <c r="R10" i="2"/>
  <c r="X10" i="2" s="1"/>
  <c r="K10" i="2"/>
  <c r="O10" i="2"/>
  <c r="C47" i="2" l="1"/>
  <c r="E47" i="2"/>
  <c r="E23" i="2"/>
  <c r="C35" i="2" l="1"/>
  <c r="E35" i="2"/>
  <c r="B47" i="2"/>
  <c r="B35" i="2"/>
  <c r="B23" i="2"/>
  <c r="R47" i="2" l="1"/>
  <c r="X47" i="2" s="1"/>
  <c r="K47" i="2"/>
  <c r="O47" i="2"/>
  <c r="R35" i="2"/>
  <c r="X35" i="2" s="1"/>
  <c r="K35" i="2"/>
  <c r="O35" i="2"/>
  <c r="K23" i="2"/>
  <c r="O23" i="2"/>
  <c r="R23" i="2"/>
  <c r="X23" i="2" s="1"/>
</calcChain>
</file>

<file path=xl/sharedStrings.xml><?xml version="1.0" encoding="utf-8"?>
<sst xmlns="http://schemas.openxmlformats.org/spreadsheetml/2006/main" count="123" uniqueCount="33">
  <si>
    <t>Name</t>
  </si>
  <si>
    <t>Stimmen</t>
  </si>
  <si>
    <t>Stimmen von eigener Liste</t>
  </si>
  <si>
    <t>Stimmen von veränderten WZ der Liste</t>
  </si>
  <si>
    <t>Stimmen von fremden Listen</t>
  </si>
  <si>
    <t>Kumulierte Stimmen auf fremden Listen</t>
  </si>
  <si>
    <t>Kumulierte Kandidatenstimmen auf Listen der</t>
  </si>
  <si>
    <t>unver.</t>
  </si>
  <si>
    <t>ver.</t>
  </si>
  <si>
    <t>Total</t>
  </si>
  <si>
    <t>FDP</t>
  </si>
  <si>
    <t>SP/GB</t>
  </si>
  <si>
    <t>SVP</t>
  </si>
  <si>
    <t>FL</t>
  </si>
  <si>
    <t>abs.</t>
  </si>
  <si>
    <t>%</t>
  </si>
  <si>
    <t>in %</t>
  </si>
  <si>
    <t>Diese Spalten manuell nachtragen, auch Parteien ändern!</t>
  </si>
  <si>
    <t>CVP</t>
  </si>
  <si>
    <t xml:space="preserve">Furrer Daniel </t>
  </si>
  <si>
    <t>Migliozzi Luigi</t>
  </si>
  <si>
    <t xml:space="preserve">Gaiser Karin </t>
  </si>
  <si>
    <t xml:space="preserve">Läubli Sylvia </t>
  </si>
  <si>
    <t xml:space="preserve">Kieliger Urs </t>
  </si>
  <si>
    <t xml:space="preserve">Ruch Brigitte </t>
  </si>
  <si>
    <t>Kieliger Christian</t>
  </si>
  <si>
    <t>Epp Sandro</t>
  </si>
  <si>
    <t xml:space="preserve">Tresch Walter </t>
  </si>
  <si>
    <t xml:space="preserve">Baumann Mario </t>
  </si>
  <si>
    <t xml:space="preserve">Schuler Christian </t>
  </si>
  <si>
    <t>Marty Walter</t>
  </si>
  <si>
    <t>Levy Flavian</t>
  </si>
  <si>
    <t xml:space="preserve">Zgraggen Mathias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</si>
</sst>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/>
  </cellStyleXfs>
  <cellXfs count="110">
    <xf numFmtId="0" fontId="0" fillId="0" borderId="0" xfId="0">
      <alignment vertical="center"/>
    </xf>
    <xf numFmtId="0" fontId="0" fillId="0" borderId="0" xfId="0" applyBorder="1">
      <alignment vertical="center"/>
    </xf>
    <xf numFmtId="165" fontId="0" fillId="0" borderId="0" xfId="0" applyNumberFormat="1">
      <alignment vertical="center"/>
    </xf>
    <xf numFmtId="0" fontId="4" fillId="0" borderId="0" xfId="0" applyFont="1">
      <alignment vertical="center"/>
    </xf>
    <xf numFmtId="1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vertical="center"/>
    </xf>
    <xf numFmtId="0" fontId="3" fillId="0" borderId="0" xfId="0" applyFont="1" applyBorder="1">
      <alignment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65" fontId="9" fillId="0" borderId="6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vertic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8" xfId="0" applyNumberFormat="1" applyFont="1" applyFill="1" applyBorder="1" applyAlignment="1">
      <alignment horizontal="center" vertical="center" wrapText="1"/>
    </xf>
    <xf numFmtId="1" fontId="11" fillId="0" borderId="8" xfId="1" applyNumberFormat="1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64" fontId="11" fillId="0" borderId="8" xfId="1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center" indent="1"/>
    </xf>
    <xf numFmtId="1" fontId="11" fillId="0" borderId="0" xfId="1" applyNumberFormat="1" applyFont="1" applyFill="1" applyBorder="1" applyAlignment="1">
      <alignment horizontal="center" vertical="center" wrapText="1"/>
    </xf>
    <xf numFmtId="165" fontId="11" fillId="0" borderId="8" xfId="1" applyNumberFormat="1" applyFont="1" applyFill="1" applyBorder="1" applyAlignment="1">
      <alignment horizontal="center" vertical="center" wrapText="1"/>
    </xf>
    <xf numFmtId="0" fontId="7" fillId="0" borderId="0" xfId="0" applyFont="1" applyBorder="1">
      <alignment vertical="center"/>
    </xf>
    <xf numFmtId="0" fontId="11" fillId="0" borderId="1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indent="1"/>
    </xf>
    <xf numFmtId="165" fontId="11" fillId="0" borderId="8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164" fontId="12" fillId="2" borderId="10" xfId="1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indent="1"/>
    </xf>
    <xf numFmtId="0" fontId="12" fillId="2" borderId="3" xfId="0" applyFont="1" applyFill="1" applyBorder="1" applyAlignment="1">
      <alignment horizontal="center" vertical="center" wrapText="1"/>
    </xf>
    <xf numFmtId="165" fontId="12" fillId="2" borderId="10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0" xfId="0" applyFont="1" applyAlignment="1">
      <alignment vertical="center"/>
    </xf>
    <xf numFmtId="0" fontId="11" fillId="0" borderId="1" xfId="0" applyNumberFormat="1" applyFont="1" applyFill="1" applyBorder="1" applyAlignment="1">
      <alignment vertical="center"/>
    </xf>
    <xf numFmtId="1" fontId="11" fillId="0" borderId="8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65" fontId="12" fillId="0" borderId="6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1" fillId="0" borderId="0" xfId="0" applyFont="1" applyFill="1">
      <alignment vertical="center"/>
    </xf>
    <xf numFmtId="0" fontId="12" fillId="2" borderId="10" xfId="0" applyFont="1" applyFill="1" applyBorder="1" applyAlignment="1">
      <alignment vertical="center"/>
    </xf>
    <xf numFmtId="1" fontId="12" fillId="2" borderId="10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0" fillId="0" borderId="0" xfId="0" applyBorder="1" applyAlignment="1"/>
    <xf numFmtId="0" fontId="11" fillId="0" borderId="3" xfId="0" applyNumberFormat="1" applyFont="1" applyBorder="1" applyAlignment="1">
      <alignment vertical="center"/>
    </xf>
    <xf numFmtId="1" fontId="11" fillId="0" borderId="10" xfId="0" applyNumberFormat="1" applyFont="1" applyBorder="1" applyAlignment="1">
      <alignment horizontal="center" vertical="center"/>
    </xf>
    <xf numFmtId="1" fontId="11" fillId="0" borderId="10" xfId="0" applyNumberFormat="1" applyFont="1" applyFill="1" applyBorder="1" applyAlignment="1">
      <alignment horizontal="center" vertical="center" wrapText="1"/>
    </xf>
    <xf numFmtId="1" fontId="11" fillId="0" borderId="10" xfId="1" applyNumberFormat="1" applyFont="1" applyFill="1" applyBorder="1" applyAlignment="1">
      <alignment horizontal="center" vertical="center" wrapText="1"/>
    </xf>
    <xf numFmtId="1" fontId="11" fillId="0" borderId="11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Fill="1" applyBorder="1" applyAlignment="1">
      <alignment horizontal="center" vertical="center" wrapText="1"/>
    </xf>
    <xf numFmtId="1" fontId="11" fillId="0" borderId="3" xfId="1" applyNumberFormat="1" applyFont="1" applyFill="1" applyBorder="1" applyAlignment="1">
      <alignment horizontal="center" vertical="center" wrapText="1"/>
    </xf>
    <xf numFmtId="164" fontId="11" fillId="0" borderId="10" xfId="1" applyNumberFormat="1" applyFont="1" applyFill="1" applyBorder="1" applyAlignment="1">
      <alignment horizontal="center" vertical="center" wrapText="1"/>
    </xf>
    <xf numFmtId="0" fontId="7" fillId="0" borderId="11" xfId="0" applyFont="1" applyBorder="1">
      <alignment vertical="center"/>
    </xf>
    <xf numFmtId="0" fontId="11" fillId="0" borderId="3" xfId="0" applyNumberFormat="1" applyFont="1" applyBorder="1" applyAlignment="1">
      <alignment horizontal="left" vertical="center" indent="1"/>
    </xf>
    <xf numFmtId="1" fontId="11" fillId="0" borderId="11" xfId="1" applyNumberFormat="1" applyFont="1" applyFill="1" applyBorder="1" applyAlignment="1">
      <alignment horizontal="center" vertical="center" wrapText="1"/>
    </xf>
    <xf numFmtId="165" fontId="11" fillId="0" borderId="10" xfId="1" applyNumberFormat="1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1" xfId="0" applyBorder="1" applyAlignment="1"/>
    <xf numFmtId="0" fontId="11" fillId="0" borderId="11" xfId="0" applyFont="1" applyBorder="1">
      <alignment vertical="center"/>
    </xf>
    <xf numFmtId="0" fontId="11" fillId="0" borderId="11" xfId="0" applyFont="1" applyFill="1" applyBorder="1">
      <alignment vertical="center"/>
    </xf>
    <xf numFmtId="0" fontId="11" fillId="0" borderId="3" xfId="0" applyNumberFormat="1" applyFont="1" applyFill="1" applyBorder="1" applyAlignment="1">
      <alignment vertical="center"/>
    </xf>
    <xf numFmtId="1" fontId="11" fillId="0" borderId="10" xfId="0" applyNumberFormat="1" applyFont="1" applyFill="1" applyBorder="1" applyAlignment="1">
      <alignment horizontal="center" vertical="center"/>
    </xf>
    <xf numFmtId="0" fontId="6" fillId="0" borderId="11" xfId="0" applyFont="1" applyBorder="1" applyAlignment="1"/>
    <xf numFmtId="1" fontId="5" fillId="0" borderId="3" xfId="1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indent="1"/>
    </xf>
    <xf numFmtId="0" fontId="8" fillId="0" borderId="10" xfId="0" applyFont="1" applyBorder="1" applyAlignment="1">
      <alignment horizontal="left" vertical="center" indent="1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indent="1"/>
    </xf>
    <xf numFmtId="0" fontId="12" fillId="0" borderId="10" xfId="0" applyFont="1" applyBorder="1" applyAlignment="1">
      <alignment horizontal="left" vertical="center" inden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E81"/>
  <sheetViews>
    <sheetView showGridLines="0" tabSelected="1" topLeftCell="O1" zoomScale="145" zoomScaleNormal="145" workbookViewId="0">
      <selection activeCell="Q2" sqref="Q2:X10"/>
    </sheetView>
  </sheetViews>
  <sheetFormatPr baseColWidth="10" defaultRowHeight="12.75" x14ac:dyDescent="0.2"/>
  <cols>
    <col min="1" max="1" width="18.5703125" style="7" customWidth="1"/>
    <col min="2" max="2" width="9.140625" customWidth="1"/>
    <col min="3" max="9" width="6.140625" customWidth="1"/>
    <col min="10" max="11" width="8.140625" customWidth="1"/>
    <col min="13" max="13" width="20.28515625" bestFit="1" customWidth="1"/>
    <col min="14" max="14" width="8.5703125" customWidth="1"/>
    <col min="15" max="15" width="11.140625" customWidth="1"/>
    <col min="17" max="17" width="20" style="7" bestFit="1" customWidth="1"/>
    <col min="18" max="18" width="9.140625" customWidth="1"/>
    <col min="19" max="23" width="8.5703125" customWidth="1"/>
    <col min="24" max="24" width="8.5703125" style="2" customWidth="1"/>
  </cols>
  <sheetData>
    <row r="1" spans="1:24" x14ac:dyDescent="0.2">
      <c r="A1" s="7" t="s">
        <v>18</v>
      </c>
    </row>
    <row r="2" spans="1:24" s="54" customFormat="1" ht="35.25" customHeight="1" x14ac:dyDescent="0.2">
      <c r="A2" s="104" t="s">
        <v>0</v>
      </c>
      <c r="B2" s="106" t="s">
        <v>1</v>
      </c>
      <c r="C2" s="92" t="s">
        <v>2</v>
      </c>
      <c r="D2" s="98"/>
      <c r="E2" s="98"/>
      <c r="F2" s="92" t="s">
        <v>3</v>
      </c>
      <c r="G2" s="98"/>
      <c r="H2" s="98"/>
      <c r="I2" s="93"/>
      <c r="J2" s="92" t="s">
        <v>4</v>
      </c>
      <c r="K2" s="93"/>
      <c r="M2" s="108" t="s">
        <v>0</v>
      </c>
      <c r="N2" s="92" t="s">
        <v>5</v>
      </c>
      <c r="O2" s="93"/>
      <c r="Q2" s="104" t="s">
        <v>0</v>
      </c>
      <c r="R2" s="106" t="s">
        <v>1</v>
      </c>
      <c r="S2" s="92" t="s">
        <v>6</v>
      </c>
      <c r="T2" s="98"/>
      <c r="U2" s="98"/>
      <c r="V2" s="93"/>
      <c r="W2" s="55"/>
      <c r="X2" s="56"/>
    </row>
    <row r="3" spans="1:24" s="59" customFormat="1" ht="12" x14ac:dyDescent="0.2">
      <c r="A3" s="105"/>
      <c r="B3" s="107"/>
      <c r="C3" s="57" t="s">
        <v>7</v>
      </c>
      <c r="D3" s="58" t="s">
        <v>8</v>
      </c>
      <c r="E3" s="58" t="s">
        <v>9</v>
      </c>
      <c r="F3" s="57" t="s">
        <v>10</v>
      </c>
      <c r="G3" s="58" t="s">
        <v>11</v>
      </c>
      <c r="H3" s="58" t="s">
        <v>12</v>
      </c>
      <c r="I3" s="58" t="s">
        <v>13</v>
      </c>
      <c r="J3" s="57" t="s">
        <v>14</v>
      </c>
      <c r="K3" s="57" t="s">
        <v>15</v>
      </c>
      <c r="M3" s="109"/>
      <c r="N3" s="57" t="s">
        <v>14</v>
      </c>
      <c r="O3" s="57" t="s">
        <v>15</v>
      </c>
      <c r="Q3" s="105"/>
      <c r="R3" s="107"/>
      <c r="S3" s="58" t="str">
        <f>F3</f>
        <v>FDP</v>
      </c>
      <c r="T3" s="58" t="str">
        <f>G3</f>
        <v>SP/GB</v>
      </c>
      <c r="U3" s="58" t="str">
        <f>H3</f>
        <v>SVP</v>
      </c>
      <c r="V3" s="58" t="str">
        <f>I3</f>
        <v>FL</v>
      </c>
      <c r="W3" s="58" t="s">
        <v>9</v>
      </c>
      <c r="X3" s="60" t="s">
        <v>16</v>
      </c>
    </row>
    <row r="4" spans="1:24" s="54" customFormat="1" ht="12" x14ac:dyDescent="0.2">
      <c r="A4" s="61"/>
      <c r="B4" s="62"/>
      <c r="C4" s="63"/>
      <c r="D4" s="63"/>
      <c r="E4" s="39"/>
      <c r="F4" s="38"/>
      <c r="G4" s="40"/>
      <c r="H4" s="40"/>
      <c r="I4" s="40"/>
      <c r="J4" s="38"/>
      <c r="K4" s="38"/>
      <c r="M4" s="64"/>
      <c r="N4" s="38"/>
      <c r="O4" s="38"/>
      <c r="Q4" s="61"/>
      <c r="R4" s="62"/>
      <c r="S4" s="63"/>
      <c r="T4" s="39"/>
      <c r="U4" s="63"/>
      <c r="V4" s="40"/>
      <c r="W4" s="40"/>
      <c r="X4" s="42"/>
    </row>
    <row r="5" spans="1:24" s="54" customFormat="1" ht="12" x14ac:dyDescent="0.2">
      <c r="A5" s="24" t="s">
        <v>19</v>
      </c>
      <c r="B5" s="25">
        <f>E5+J5</f>
        <v>802</v>
      </c>
      <c r="C5" s="26">
        <v>284</v>
      </c>
      <c r="D5" s="27">
        <v>286</v>
      </c>
      <c r="E5" s="28">
        <f>SUM(C5:D5)</f>
        <v>570</v>
      </c>
      <c r="F5" s="26">
        <v>10</v>
      </c>
      <c r="G5" s="29">
        <v>28</v>
      </c>
      <c r="H5" s="30">
        <v>49</v>
      </c>
      <c r="I5" s="30">
        <v>145</v>
      </c>
      <c r="J5" s="26">
        <f>SUM(F5:I5)</f>
        <v>232</v>
      </c>
      <c r="K5" s="31">
        <f>J5/B5</f>
        <v>0.2892768079800499</v>
      </c>
      <c r="M5" s="32" t="str">
        <f>A5</f>
        <v xml:space="preserve">Furrer Daniel </v>
      </c>
      <c r="N5" s="26">
        <f>W5</f>
        <v>102</v>
      </c>
      <c r="O5" s="31">
        <f>N5/B5</f>
        <v>0.12718204488778054</v>
      </c>
      <c r="P5" s="65"/>
      <c r="Q5" s="52" t="str">
        <f t="shared" ref="Q5:R8" si="0">A5</f>
        <v xml:space="preserve">Furrer Daniel </v>
      </c>
      <c r="R5" s="53">
        <f t="shared" si="0"/>
        <v>802</v>
      </c>
      <c r="S5" s="27">
        <v>2</v>
      </c>
      <c r="T5" s="33">
        <v>18</v>
      </c>
      <c r="U5" s="26">
        <v>20</v>
      </c>
      <c r="V5" s="30">
        <v>62</v>
      </c>
      <c r="W5" s="29">
        <f>SUM(S5:V5)</f>
        <v>102</v>
      </c>
      <c r="X5" s="34">
        <f>W5/R5*100</f>
        <v>12.718204488778055</v>
      </c>
    </row>
    <row r="6" spans="1:24" s="86" customFormat="1" ht="12" x14ac:dyDescent="0.2">
      <c r="A6" s="72" t="s">
        <v>21</v>
      </c>
      <c r="B6" s="73">
        <f>E6+J6</f>
        <v>737</v>
      </c>
      <c r="C6" s="74">
        <v>284</v>
      </c>
      <c r="D6" s="75">
        <v>196</v>
      </c>
      <c r="E6" s="76">
        <f>SUM(C6:D6)</f>
        <v>480</v>
      </c>
      <c r="F6" s="74">
        <v>36</v>
      </c>
      <c r="G6" s="77">
        <v>48</v>
      </c>
      <c r="H6" s="78">
        <v>38</v>
      </c>
      <c r="I6" s="78">
        <v>135</v>
      </c>
      <c r="J6" s="74">
        <f>SUM(F6:I6)</f>
        <v>257</v>
      </c>
      <c r="K6" s="79">
        <f>J6/B6</f>
        <v>0.3487109905020353</v>
      </c>
      <c r="M6" s="81" t="str">
        <f>A6</f>
        <v xml:space="preserve">Gaiser Karin </v>
      </c>
      <c r="N6" s="74">
        <f>W6</f>
        <v>126</v>
      </c>
      <c r="O6" s="79">
        <f>N6/B6</f>
        <v>0.17096336499321574</v>
      </c>
      <c r="P6" s="87"/>
      <c r="Q6" s="88" t="str">
        <f t="shared" si="0"/>
        <v xml:space="preserve">Gaiser Karin </v>
      </c>
      <c r="R6" s="89">
        <f t="shared" si="0"/>
        <v>737</v>
      </c>
      <c r="S6" s="75">
        <v>22</v>
      </c>
      <c r="T6" s="82">
        <v>34</v>
      </c>
      <c r="U6" s="74">
        <v>16</v>
      </c>
      <c r="V6" s="78">
        <v>54</v>
      </c>
      <c r="W6" s="77">
        <f>SUM(S6:V6)</f>
        <v>126</v>
      </c>
      <c r="X6" s="83">
        <f>W6/R6*100</f>
        <v>17.096336499321573</v>
      </c>
    </row>
    <row r="7" spans="1:24" s="54" customFormat="1" ht="12" x14ac:dyDescent="0.2">
      <c r="A7" s="24" t="s">
        <v>32</v>
      </c>
      <c r="B7" s="25">
        <f>E7+J7</f>
        <v>447</v>
      </c>
      <c r="C7" s="26">
        <v>142</v>
      </c>
      <c r="D7" s="27">
        <v>178</v>
      </c>
      <c r="E7" s="28">
        <f>SUM(C7:D7)</f>
        <v>320</v>
      </c>
      <c r="F7" s="26">
        <v>1</v>
      </c>
      <c r="G7" s="29">
        <v>11</v>
      </c>
      <c r="H7" s="30">
        <v>21</v>
      </c>
      <c r="I7" s="30">
        <v>94</v>
      </c>
      <c r="J7" s="26">
        <f>SUM(F7:I7)</f>
        <v>127</v>
      </c>
      <c r="K7" s="31">
        <f>J7/B7</f>
        <v>0.28411633109619688</v>
      </c>
      <c r="M7" s="32" t="str">
        <f>A7</f>
        <v xml:space="preserve">Zgraggen Mathias </v>
      </c>
      <c r="N7" s="26">
        <f>W7</f>
        <v>38</v>
      </c>
      <c r="O7" s="31">
        <f>N7/B7</f>
        <v>8.5011185682326629E-2</v>
      </c>
      <c r="P7" s="65"/>
      <c r="Q7" s="52" t="str">
        <f t="shared" si="0"/>
        <v xml:space="preserve">Zgraggen Mathias </v>
      </c>
      <c r="R7" s="53">
        <f t="shared" si="0"/>
        <v>447</v>
      </c>
      <c r="S7" s="27">
        <v>0</v>
      </c>
      <c r="T7" s="33">
        <v>4</v>
      </c>
      <c r="U7" s="26">
        <v>2</v>
      </c>
      <c r="V7" s="30">
        <v>32</v>
      </c>
      <c r="W7" s="29">
        <f>SUM(S7:V7)</f>
        <v>38</v>
      </c>
      <c r="X7" s="34">
        <f>W7/R7*100</f>
        <v>8.5011185682326627</v>
      </c>
    </row>
    <row r="8" spans="1:24" s="54" customFormat="1" ht="12" x14ac:dyDescent="0.2">
      <c r="A8" s="24" t="s">
        <v>20</v>
      </c>
      <c r="B8" s="25">
        <f>E8+J8</f>
        <v>241</v>
      </c>
      <c r="C8" s="26">
        <v>142</v>
      </c>
      <c r="D8" s="27">
        <v>64</v>
      </c>
      <c r="E8" s="28">
        <f>SUM(C8:D8)</f>
        <v>206</v>
      </c>
      <c r="F8" s="26">
        <v>0</v>
      </c>
      <c r="G8" s="29">
        <v>2</v>
      </c>
      <c r="H8" s="30">
        <v>5</v>
      </c>
      <c r="I8" s="30">
        <v>28</v>
      </c>
      <c r="J8" s="26">
        <f>SUM(F8:I8)</f>
        <v>35</v>
      </c>
      <c r="K8" s="31">
        <f>J8/B8</f>
        <v>0.14522821576763487</v>
      </c>
      <c r="M8" s="32" t="str">
        <f>A8</f>
        <v>Migliozzi Luigi</v>
      </c>
      <c r="N8" s="26">
        <f>W8</f>
        <v>2</v>
      </c>
      <c r="O8" s="31">
        <f>N8/B8</f>
        <v>8.2987551867219917E-3</v>
      </c>
      <c r="P8" s="65"/>
      <c r="Q8" s="52" t="str">
        <f t="shared" si="0"/>
        <v>Migliozzi Luigi</v>
      </c>
      <c r="R8" s="53">
        <f t="shared" si="0"/>
        <v>241</v>
      </c>
      <c r="S8" s="27">
        <v>0</v>
      </c>
      <c r="T8" s="33">
        <v>0</v>
      </c>
      <c r="U8" s="26">
        <v>0</v>
      </c>
      <c r="V8" s="30">
        <v>2</v>
      </c>
      <c r="W8" s="29">
        <f>SUM(S8:V8)</f>
        <v>2</v>
      </c>
      <c r="X8" s="34">
        <f>W8/R8*100</f>
        <v>0.82987551867219922</v>
      </c>
    </row>
    <row r="9" spans="1:24" s="54" customFormat="1" ht="12" x14ac:dyDescent="0.2">
      <c r="A9" s="36"/>
      <c r="B9" s="37"/>
      <c r="C9" s="38"/>
      <c r="D9" s="38"/>
      <c r="E9" s="39"/>
      <c r="F9" s="38"/>
      <c r="G9" s="40"/>
      <c r="H9" s="40"/>
      <c r="I9" s="40"/>
      <c r="J9" s="38"/>
      <c r="K9" s="38"/>
      <c r="M9" s="41"/>
      <c r="N9" s="38"/>
      <c r="O9" s="38"/>
      <c r="Q9" s="36"/>
      <c r="R9" s="37"/>
      <c r="S9" s="38"/>
      <c r="T9" s="39"/>
      <c r="U9" s="38"/>
      <c r="V9" s="40"/>
      <c r="W9" s="40"/>
      <c r="X9" s="42"/>
    </row>
    <row r="10" spans="1:24" s="54" customFormat="1" ht="12" x14ac:dyDescent="0.2">
      <c r="A10" s="43" t="s">
        <v>9</v>
      </c>
      <c r="B10" s="44">
        <f>SUM(B5:B8)</f>
        <v>2227</v>
      </c>
      <c r="C10" s="45">
        <f t="shared" ref="C10:J10" si="1">SUM(C5:C9)</f>
        <v>852</v>
      </c>
      <c r="D10" s="45">
        <f t="shared" si="1"/>
        <v>724</v>
      </c>
      <c r="E10" s="45">
        <f t="shared" si="1"/>
        <v>1576</v>
      </c>
      <c r="F10" s="45">
        <f t="shared" si="1"/>
        <v>47</v>
      </c>
      <c r="G10" s="45">
        <f t="shared" si="1"/>
        <v>89</v>
      </c>
      <c r="H10" s="45">
        <f t="shared" si="1"/>
        <v>113</v>
      </c>
      <c r="I10" s="45">
        <f t="shared" si="1"/>
        <v>402</v>
      </c>
      <c r="J10" s="45">
        <f t="shared" si="1"/>
        <v>651</v>
      </c>
      <c r="K10" s="46">
        <f>J10/(B10)</f>
        <v>0.29232150875617424</v>
      </c>
      <c r="M10" s="47" t="s">
        <v>9</v>
      </c>
      <c r="N10" s="45">
        <f>SUM(N5:N9)</f>
        <v>268</v>
      </c>
      <c r="O10" s="46">
        <f>N10/B10</f>
        <v>0.12034126627750337</v>
      </c>
      <c r="Q10" s="43" t="s">
        <v>9</v>
      </c>
      <c r="R10" s="44">
        <f>SUM(R5:R8)</f>
        <v>2227</v>
      </c>
      <c r="S10" s="45">
        <f>SUM(S5:S9)</f>
        <v>24</v>
      </c>
      <c r="T10" s="45">
        <f>SUM(T5:T9)</f>
        <v>56</v>
      </c>
      <c r="U10" s="45">
        <f>SUM(U5:U9)</f>
        <v>38</v>
      </c>
      <c r="V10" s="45">
        <f>SUM(V5:V9)</f>
        <v>150</v>
      </c>
      <c r="W10" s="45">
        <f>SUM(W5:W9)</f>
        <v>268</v>
      </c>
      <c r="X10" s="49">
        <f>W10/R10*100</f>
        <v>12.034126627750338</v>
      </c>
    </row>
    <row r="12" spans="1:24" x14ac:dyDescent="0.2">
      <c r="F12" s="5" t="s">
        <v>17</v>
      </c>
      <c r="G12" s="8"/>
      <c r="H12" s="1"/>
      <c r="I12" s="6"/>
    </row>
    <row r="14" spans="1:24" x14ac:dyDescent="0.2">
      <c r="A14" s="7" t="s">
        <v>10</v>
      </c>
    </row>
    <row r="15" spans="1:24" ht="35.25" customHeight="1" x14ac:dyDescent="0.2">
      <c r="A15" s="94" t="s">
        <v>0</v>
      </c>
      <c r="B15" s="96" t="s">
        <v>1</v>
      </c>
      <c r="C15" s="99" t="s">
        <v>2</v>
      </c>
      <c r="D15" s="100"/>
      <c r="E15" s="100"/>
      <c r="F15" s="99" t="s">
        <v>3</v>
      </c>
      <c r="G15" s="100"/>
      <c r="H15" s="100"/>
      <c r="I15" s="101"/>
      <c r="J15" s="99" t="s">
        <v>4</v>
      </c>
      <c r="K15" s="101"/>
      <c r="L15" s="9"/>
      <c r="M15" s="102" t="s">
        <v>0</v>
      </c>
      <c r="N15" s="92" t="s">
        <v>5</v>
      </c>
      <c r="O15" s="93"/>
      <c r="P15" s="9"/>
      <c r="Q15" s="94" t="s">
        <v>0</v>
      </c>
      <c r="R15" s="96" t="s">
        <v>1</v>
      </c>
      <c r="S15" s="92" t="s">
        <v>6</v>
      </c>
      <c r="T15" s="98"/>
      <c r="U15" s="98"/>
      <c r="V15" s="93"/>
      <c r="W15" s="10"/>
      <c r="X15" s="11"/>
    </row>
    <row r="16" spans="1:24" s="3" customFormat="1" x14ac:dyDescent="0.2">
      <c r="A16" s="95"/>
      <c r="B16" s="97"/>
      <c r="C16" s="12" t="s">
        <v>7</v>
      </c>
      <c r="D16" s="13" t="s">
        <v>8</v>
      </c>
      <c r="E16" s="13" t="s">
        <v>9</v>
      </c>
      <c r="F16" s="12" t="s">
        <v>18</v>
      </c>
      <c r="G16" s="13" t="s">
        <v>11</v>
      </c>
      <c r="H16" s="13" t="s">
        <v>12</v>
      </c>
      <c r="I16" s="13" t="s">
        <v>13</v>
      </c>
      <c r="J16" s="12" t="s">
        <v>14</v>
      </c>
      <c r="K16" s="12" t="s">
        <v>15</v>
      </c>
      <c r="L16" s="14"/>
      <c r="M16" s="103"/>
      <c r="N16" s="12" t="s">
        <v>14</v>
      </c>
      <c r="O16" s="12" t="s">
        <v>15</v>
      </c>
      <c r="P16" s="14"/>
      <c r="Q16" s="95"/>
      <c r="R16" s="97"/>
      <c r="S16" s="13" t="str">
        <f>F16</f>
        <v>CVP</v>
      </c>
      <c r="T16" s="13" t="str">
        <f>G16</f>
        <v>SP/GB</v>
      </c>
      <c r="U16" s="13" t="str">
        <f>H16</f>
        <v>SVP</v>
      </c>
      <c r="V16" s="13" t="str">
        <f>I16</f>
        <v>FL</v>
      </c>
      <c r="W16" s="13" t="s">
        <v>9</v>
      </c>
      <c r="X16" s="15" t="s">
        <v>16</v>
      </c>
    </row>
    <row r="17" spans="1:31" x14ac:dyDescent="0.2">
      <c r="A17" s="16"/>
      <c r="B17" s="17"/>
      <c r="C17" s="18"/>
      <c r="D17" s="18"/>
      <c r="E17" s="19"/>
      <c r="F17" s="20"/>
      <c r="G17" s="21"/>
      <c r="H17" s="21"/>
      <c r="I17" s="21"/>
      <c r="J17" s="20"/>
      <c r="K17" s="20"/>
      <c r="L17" s="9"/>
      <c r="M17" s="22"/>
      <c r="N17" s="20"/>
      <c r="O17" s="20"/>
      <c r="P17" s="9"/>
      <c r="Q17" s="16"/>
      <c r="R17" s="17"/>
      <c r="S17" s="18"/>
      <c r="T17" s="19"/>
      <c r="U17" s="18"/>
      <c r="V17" s="21"/>
      <c r="W17" s="21"/>
      <c r="X17" s="23"/>
    </row>
    <row r="18" spans="1:31" s="84" customFormat="1" ht="12.75" customHeight="1" x14ac:dyDescent="0.2">
      <c r="A18" s="72" t="s">
        <v>27</v>
      </c>
      <c r="B18" s="73">
        <f>E18+J18</f>
        <v>328</v>
      </c>
      <c r="C18" s="74">
        <v>63</v>
      </c>
      <c r="D18" s="75">
        <v>39</v>
      </c>
      <c r="E18" s="76">
        <f>SUM(C18:D18)</f>
        <v>102</v>
      </c>
      <c r="F18" s="74">
        <v>49</v>
      </c>
      <c r="G18" s="77">
        <v>20</v>
      </c>
      <c r="H18" s="74">
        <v>31</v>
      </c>
      <c r="I18" s="78">
        <v>126</v>
      </c>
      <c r="J18" s="74">
        <f>SUM(F18:I18)</f>
        <v>226</v>
      </c>
      <c r="K18" s="79">
        <f>J18/B18</f>
        <v>0.68902439024390238</v>
      </c>
      <c r="L18" s="80"/>
      <c r="M18" s="81" t="str">
        <f>A18</f>
        <v xml:space="preserve">Tresch Walter </v>
      </c>
      <c r="N18" s="74">
        <f>W18</f>
        <v>88</v>
      </c>
      <c r="O18" s="79">
        <f>N18/B18</f>
        <v>0.26829268292682928</v>
      </c>
      <c r="P18" s="80"/>
      <c r="Q18" s="72" t="str">
        <f t="shared" ref="Q18:R21" si="2">A18</f>
        <v xml:space="preserve">Tresch Walter </v>
      </c>
      <c r="R18" s="73">
        <f t="shared" si="2"/>
        <v>328</v>
      </c>
      <c r="S18" s="75">
        <v>18</v>
      </c>
      <c r="T18" s="82">
        <v>8</v>
      </c>
      <c r="U18" s="74">
        <v>10</v>
      </c>
      <c r="V18" s="78">
        <v>52</v>
      </c>
      <c r="W18" s="77">
        <f>SUM(S18:V18)</f>
        <v>88</v>
      </c>
      <c r="X18" s="83">
        <f>W18/R18*100</f>
        <v>26.829268292682929</v>
      </c>
      <c r="Z18" s="91"/>
      <c r="AA18" s="90"/>
      <c r="AB18" s="85"/>
      <c r="AC18" s="85"/>
      <c r="AD18" s="85"/>
    </row>
    <row r="19" spans="1:31" ht="12.75" customHeight="1" x14ac:dyDescent="0.2">
      <c r="A19" s="24" t="s">
        <v>26</v>
      </c>
      <c r="B19" s="25">
        <f>E19+J19</f>
        <v>251</v>
      </c>
      <c r="C19" s="26">
        <v>126</v>
      </c>
      <c r="D19" s="27">
        <v>43</v>
      </c>
      <c r="E19" s="28">
        <f>SUM(C19:D19)</f>
        <v>169</v>
      </c>
      <c r="F19" s="26">
        <v>10</v>
      </c>
      <c r="G19" s="29">
        <v>2</v>
      </c>
      <c r="H19" s="26">
        <v>16</v>
      </c>
      <c r="I19" s="30">
        <v>54</v>
      </c>
      <c r="J19" s="26">
        <f>SUM(F19:I19)</f>
        <v>82</v>
      </c>
      <c r="K19" s="31">
        <f>J19/B19</f>
        <v>0.32669322709163345</v>
      </c>
      <c r="L19" s="35"/>
      <c r="M19" s="32" t="str">
        <f>A19</f>
        <v>Epp Sandro</v>
      </c>
      <c r="N19" s="26">
        <f>W19</f>
        <v>12</v>
      </c>
      <c r="O19" s="31">
        <f>N19/B19</f>
        <v>4.7808764940239043E-2</v>
      </c>
      <c r="P19" s="35"/>
      <c r="Q19" s="24" t="str">
        <f t="shared" si="2"/>
        <v>Epp Sandro</v>
      </c>
      <c r="R19" s="25">
        <f t="shared" si="2"/>
        <v>251</v>
      </c>
      <c r="S19" s="27">
        <v>2</v>
      </c>
      <c r="T19" s="33">
        <v>0</v>
      </c>
      <c r="U19" s="26">
        <v>2</v>
      </c>
      <c r="V19" s="30">
        <v>8</v>
      </c>
      <c r="W19" s="29">
        <f>SUM(S19:V19)</f>
        <v>12</v>
      </c>
      <c r="X19" s="34">
        <f>W19/R19*100</f>
        <v>4.7808764940239046</v>
      </c>
      <c r="Z19" s="4"/>
      <c r="AA19" s="69"/>
      <c r="AB19" s="50"/>
      <c r="AC19" s="50"/>
      <c r="AD19" s="50"/>
    </row>
    <row r="20" spans="1:31" s="1" customFormat="1" x14ac:dyDescent="0.2">
      <c r="A20" s="24" t="s">
        <v>25</v>
      </c>
      <c r="B20" s="25">
        <f>E20+J20</f>
        <v>238</v>
      </c>
      <c r="C20" s="26">
        <v>126</v>
      </c>
      <c r="D20" s="27">
        <v>45</v>
      </c>
      <c r="E20" s="28">
        <f>SUM(C20:D20)</f>
        <v>171</v>
      </c>
      <c r="F20" s="26">
        <v>5</v>
      </c>
      <c r="G20" s="29">
        <v>7</v>
      </c>
      <c r="H20" s="26">
        <v>13</v>
      </c>
      <c r="I20" s="30">
        <v>42</v>
      </c>
      <c r="J20" s="26">
        <f>SUM(F20:I20)</f>
        <v>67</v>
      </c>
      <c r="K20" s="31">
        <f>J20/B20</f>
        <v>0.28151260504201681</v>
      </c>
      <c r="L20" s="35"/>
      <c r="M20" s="32" t="str">
        <f>A20</f>
        <v>Kieliger Christian</v>
      </c>
      <c r="N20" s="26">
        <f>W20</f>
        <v>22</v>
      </c>
      <c r="O20" s="31">
        <f>N20/B20</f>
        <v>9.2436974789915971E-2</v>
      </c>
      <c r="P20" s="35"/>
      <c r="Q20" s="24" t="str">
        <f t="shared" si="2"/>
        <v>Kieliger Christian</v>
      </c>
      <c r="R20" s="25">
        <f t="shared" si="2"/>
        <v>238</v>
      </c>
      <c r="S20" s="27">
        <v>0</v>
      </c>
      <c r="T20" s="33">
        <v>6</v>
      </c>
      <c r="U20" s="26">
        <v>4</v>
      </c>
      <c r="V20" s="30">
        <v>12</v>
      </c>
      <c r="W20" s="29">
        <f>SUM(S20:V20)</f>
        <v>22</v>
      </c>
      <c r="X20" s="34">
        <f>W20/R20*100</f>
        <v>9.2436974789915975</v>
      </c>
      <c r="Y20"/>
      <c r="Z20" s="4"/>
      <c r="AA20" s="69"/>
      <c r="AB20" s="50"/>
      <c r="AC20" s="50"/>
      <c r="AD20" s="50"/>
      <c r="AE20"/>
    </row>
    <row r="21" spans="1:31" x14ac:dyDescent="0.2">
      <c r="A21" s="24" t="s">
        <v>28</v>
      </c>
      <c r="B21" s="25">
        <f>E21+J21</f>
        <v>108</v>
      </c>
      <c r="C21" s="26">
        <v>63</v>
      </c>
      <c r="D21" s="27">
        <v>24</v>
      </c>
      <c r="E21" s="28">
        <f>SUM(C21:D21)</f>
        <v>87</v>
      </c>
      <c r="F21" s="26">
        <v>1</v>
      </c>
      <c r="G21" s="29">
        <v>3</v>
      </c>
      <c r="H21" s="26">
        <v>2</v>
      </c>
      <c r="I21" s="30">
        <v>15</v>
      </c>
      <c r="J21" s="26">
        <f>SUM(F21:I21)</f>
        <v>21</v>
      </c>
      <c r="K21" s="31">
        <f>J21/B21</f>
        <v>0.19444444444444445</v>
      </c>
      <c r="L21" s="9"/>
      <c r="M21" s="32" t="str">
        <f>A21</f>
        <v xml:space="preserve">Baumann Mario </v>
      </c>
      <c r="N21" s="26">
        <f>W21</f>
        <v>4</v>
      </c>
      <c r="O21" s="31">
        <f>N21/B21</f>
        <v>3.7037037037037035E-2</v>
      </c>
      <c r="P21" s="9"/>
      <c r="Q21" s="24" t="str">
        <f t="shared" si="2"/>
        <v xml:space="preserve">Baumann Mario </v>
      </c>
      <c r="R21" s="25">
        <f t="shared" si="2"/>
        <v>108</v>
      </c>
      <c r="S21" s="27">
        <v>0</v>
      </c>
      <c r="T21" s="33">
        <v>2</v>
      </c>
      <c r="U21" s="26">
        <v>0</v>
      </c>
      <c r="V21" s="30">
        <v>2</v>
      </c>
      <c r="W21" s="29">
        <f>SUM(S21:V21)</f>
        <v>4</v>
      </c>
      <c r="X21" s="34">
        <f>W21/R21*100</f>
        <v>3.7037037037037033</v>
      </c>
      <c r="Z21" s="4"/>
      <c r="AA21" s="69"/>
      <c r="AB21" s="50"/>
      <c r="AC21" s="50"/>
      <c r="AD21" s="50"/>
    </row>
    <row r="22" spans="1:31" x14ac:dyDescent="0.2">
      <c r="A22" s="68"/>
      <c r="B22" s="37"/>
      <c r="C22" s="38"/>
      <c r="D22" s="38"/>
      <c r="E22" s="39"/>
      <c r="F22" s="38"/>
      <c r="G22" s="40"/>
      <c r="H22" s="40"/>
      <c r="I22" s="40"/>
      <c r="J22" s="38"/>
      <c r="K22" s="38"/>
      <c r="L22" s="9"/>
      <c r="M22" s="41"/>
      <c r="N22" s="38"/>
      <c r="O22" s="38"/>
      <c r="P22" s="9"/>
      <c r="Q22" s="36"/>
      <c r="R22" s="37"/>
      <c r="S22" s="38"/>
      <c r="T22" s="39"/>
      <c r="U22" s="38"/>
      <c r="V22" s="40"/>
      <c r="W22" s="40"/>
      <c r="X22" s="42"/>
      <c r="AA22" s="70"/>
    </row>
    <row r="23" spans="1:31" x14ac:dyDescent="0.2">
      <c r="A23" s="66" t="s">
        <v>9</v>
      </c>
      <c r="B23" s="44">
        <f>SUM(B18:B21)</f>
        <v>925</v>
      </c>
      <c r="C23" s="45">
        <f t="shared" ref="C23:J23" si="3">SUM(C18:C22)</f>
        <v>378</v>
      </c>
      <c r="D23" s="45">
        <f t="shared" si="3"/>
        <v>151</v>
      </c>
      <c r="E23" s="45">
        <f t="shared" si="3"/>
        <v>529</v>
      </c>
      <c r="F23" s="45">
        <f t="shared" si="3"/>
        <v>65</v>
      </c>
      <c r="G23" s="45">
        <f t="shared" si="3"/>
        <v>32</v>
      </c>
      <c r="H23" s="45">
        <f t="shared" si="3"/>
        <v>62</v>
      </c>
      <c r="I23" s="45">
        <f t="shared" si="3"/>
        <v>237</v>
      </c>
      <c r="J23" s="45">
        <f t="shared" si="3"/>
        <v>396</v>
      </c>
      <c r="K23" s="46">
        <f>J23/(B23)</f>
        <v>0.42810810810810812</v>
      </c>
      <c r="L23" s="9"/>
      <c r="M23" s="47" t="s">
        <v>9</v>
      </c>
      <c r="N23" s="45">
        <f>SUM(N18:N22)</f>
        <v>126</v>
      </c>
      <c r="O23" s="46">
        <f>N23/B23</f>
        <v>0.13621621621621621</v>
      </c>
      <c r="P23" s="9"/>
      <c r="Q23" s="43" t="s">
        <v>9</v>
      </c>
      <c r="R23" s="44">
        <f>SUM(R18:R21)</f>
        <v>925</v>
      </c>
      <c r="S23" s="45">
        <f>SUM(S18:S22)</f>
        <v>20</v>
      </c>
      <c r="T23" s="45">
        <f>SUM(T18:T22)</f>
        <v>16</v>
      </c>
      <c r="U23" s="45">
        <f>SUM(U18:U22)</f>
        <v>16</v>
      </c>
      <c r="V23" s="45">
        <f>SUM(V18:V22)</f>
        <v>74</v>
      </c>
      <c r="W23" s="45">
        <f>SUM(W18:W22)</f>
        <v>126</v>
      </c>
      <c r="X23" s="49">
        <f>W23/R23*100</f>
        <v>13.621621621621621</v>
      </c>
    </row>
    <row r="25" spans="1:31" ht="13.5" customHeight="1" x14ac:dyDescent="0.2"/>
    <row r="27" spans="1:31" x14ac:dyDescent="0.2">
      <c r="A27" s="51" t="s">
        <v>11</v>
      </c>
    </row>
    <row r="28" spans="1:31" ht="28.5" customHeight="1" x14ac:dyDescent="0.2">
      <c r="A28" s="94" t="s">
        <v>0</v>
      </c>
      <c r="B28" s="96" t="s">
        <v>1</v>
      </c>
      <c r="C28" s="99" t="s">
        <v>2</v>
      </c>
      <c r="D28" s="100"/>
      <c r="E28" s="101"/>
      <c r="F28" s="99" t="s">
        <v>3</v>
      </c>
      <c r="G28" s="100"/>
      <c r="H28" s="100"/>
      <c r="I28" s="101"/>
      <c r="J28" s="99" t="s">
        <v>4</v>
      </c>
      <c r="K28" s="101"/>
      <c r="L28" s="9"/>
      <c r="M28" s="102" t="s">
        <v>0</v>
      </c>
      <c r="N28" s="92" t="s">
        <v>5</v>
      </c>
      <c r="O28" s="93"/>
      <c r="P28" s="9"/>
      <c r="Q28" s="94" t="s">
        <v>0</v>
      </c>
      <c r="R28" s="96" t="s">
        <v>1</v>
      </c>
      <c r="S28" s="92" t="s">
        <v>6</v>
      </c>
      <c r="T28" s="98"/>
      <c r="U28" s="98"/>
      <c r="V28" s="93"/>
      <c r="W28" s="10"/>
      <c r="X28" s="11"/>
    </row>
    <row r="29" spans="1:31" x14ac:dyDescent="0.2">
      <c r="A29" s="95"/>
      <c r="B29" s="97"/>
      <c r="C29" s="12" t="s">
        <v>7</v>
      </c>
      <c r="D29" s="13" t="s">
        <v>8</v>
      </c>
      <c r="E29" s="13" t="s">
        <v>9</v>
      </c>
      <c r="F29" s="12" t="s">
        <v>18</v>
      </c>
      <c r="G29" s="13" t="s">
        <v>10</v>
      </c>
      <c r="H29" s="13" t="s">
        <v>12</v>
      </c>
      <c r="I29" s="13" t="s">
        <v>13</v>
      </c>
      <c r="J29" s="12" t="s">
        <v>14</v>
      </c>
      <c r="K29" s="12" t="s">
        <v>15</v>
      </c>
      <c r="L29" s="14"/>
      <c r="M29" s="103"/>
      <c r="N29" s="12" t="s">
        <v>14</v>
      </c>
      <c r="O29" s="12" t="s">
        <v>15</v>
      </c>
      <c r="P29" s="14"/>
      <c r="Q29" s="95"/>
      <c r="R29" s="97"/>
      <c r="S29" s="13" t="str">
        <f>F29</f>
        <v>CVP</v>
      </c>
      <c r="T29" s="13" t="str">
        <f>G29</f>
        <v>FDP</v>
      </c>
      <c r="U29" s="13" t="str">
        <f>H29</f>
        <v>SVP</v>
      </c>
      <c r="V29" s="13" t="str">
        <f>I29</f>
        <v>FL</v>
      </c>
      <c r="W29" s="13" t="s">
        <v>9</v>
      </c>
      <c r="X29" s="15" t="s">
        <v>16</v>
      </c>
    </row>
    <row r="30" spans="1:31" x14ac:dyDescent="0.2">
      <c r="A30" s="16"/>
      <c r="B30" s="17"/>
      <c r="C30" s="18"/>
      <c r="D30" s="18"/>
      <c r="E30" s="19"/>
      <c r="F30" s="20"/>
      <c r="G30" s="21"/>
      <c r="H30" s="21"/>
      <c r="I30" s="21"/>
      <c r="J30" s="20"/>
      <c r="K30" s="20"/>
      <c r="L30" s="9"/>
      <c r="M30" s="22"/>
      <c r="N30" s="20"/>
      <c r="O30" s="20"/>
      <c r="P30" s="9"/>
      <c r="Q30" s="16"/>
      <c r="R30" s="17"/>
      <c r="S30" s="18"/>
      <c r="T30" s="19"/>
      <c r="U30" s="18"/>
      <c r="V30" s="21"/>
      <c r="W30" s="21"/>
      <c r="X30" s="23"/>
    </row>
    <row r="31" spans="1:31" x14ac:dyDescent="0.2">
      <c r="A31" s="24" t="s">
        <v>22</v>
      </c>
      <c r="B31" s="25">
        <f>E31+J31</f>
        <v>625</v>
      </c>
      <c r="C31" s="26">
        <v>392</v>
      </c>
      <c r="D31" s="27">
        <v>104</v>
      </c>
      <c r="E31" s="28">
        <f>SUM(C31:D31)</f>
        <v>496</v>
      </c>
      <c r="F31" s="26">
        <v>34</v>
      </c>
      <c r="G31" s="29">
        <v>4</v>
      </c>
      <c r="H31" s="29">
        <v>4</v>
      </c>
      <c r="I31" s="30">
        <v>87</v>
      </c>
      <c r="J31" s="26">
        <f>SUM(F31:I31)</f>
        <v>129</v>
      </c>
      <c r="K31" s="31">
        <f>J31/B31</f>
        <v>0.2064</v>
      </c>
      <c r="L31" s="9"/>
      <c r="M31" s="32" t="str">
        <f>A31</f>
        <v xml:space="preserve">Läubli Sylvia </v>
      </c>
      <c r="N31" s="26">
        <f>W31</f>
        <v>34</v>
      </c>
      <c r="O31" s="31">
        <f>N31/B31</f>
        <v>5.4399999999999997E-2</v>
      </c>
      <c r="P31" s="9"/>
      <c r="Q31" s="24" t="str">
        <f t="shared" ref="Q31:R33" si="4">A31</f>
        <v xml:space="preserve">Läubli Sylvia </v>
      </c>
      <c r="R31" s="25">
        <f t="shared" si="4"/>
        <v>625</v>
      </c>
      <c r="S31" s="27">
        <v>6</v>
      </c>
      <c r="T31" s="33">
        <v>2</v>
      </c>
      <c r="U31" s="26">
        <v>0</v>
      </c>
      <c r="V31" s="30">
        <v>26</v>
      </c>
      <c r="W31" s="29">
        <f>SUM(S31:V31)</f>
        <v>34</v>
      </c>
      <c r="X31" s="34">
        <f>W31/R31*100</f>
        <v>5.4399999999999995</v>
      </c>
      <c r="AA31" s="69"/>
    </row>
    <row r="32" spans="1:31" s="84" customFormat="1" x14ac:dyDescent="0.2">
      <c r="A32" s="72" t="s">
        <v>23</v>
      </c>
      <c r="B32" s="73">
        <f>E32+J32</f>
        <v>542</v>
      </c>
      <c r="C32" s="74">
        <v>392</v>
      </c>
      <c r="D32" s="75">
        <v>79</v>
      </c>
      <c r="E32" s="76">
        <f>SUM(C32:D32)</f>
        <v>471</v>
      </c>
      <c r="F32" s="74">
        <v>19</v>
      </c>
      <c r="G32" s="77">
        <v>1</v>
      </c>
      <c r="H32" s="77">
        <v>5</v>
      </c>
      <c r="I32" s="78">
        <v>46</v>
      </c>
      <c r="J32" s="74">
        <f>SUM(F32:I32)</f>
        <v>71</v>
      </c>
      <c r="K32" s="79">
        <f>J32/B32</f>
        <v>0.13099630996309963</v>
      </c>
      <c r="L32" s="80"/>
      <c r="M32" s="81" t="str">
        <f>A32</f>
        <v xml:space="preserve">Kieliger Urs </v>
      </c>
      <c r="N32" s="74">
        <f>W32</f>
        <v>16</v>
      </c>
      <c r="O32" s="79">
        <f>N32/B32</f>
        <v>2.9520295202952029E-2</v>
      </c>
      <c r="P32" s="80"/>
      <c r="Q32" s="72" t="str">
        <f t="shared" si="4"/>
        <v xml:space="preserve">Kieliger Urs </v>
      </c>
      <c r="R32" s="73">
        <f t="shared" si="4"/>
        <v>542</v>
      </c>
      <c r="S32" s="75">
        <v>2</v>
      </c>
      <c r="T32" s="82">
        <v>0</v>
      </c>
      <c r="U32" s="74">
        <v>2</v>
      </c>
      <c r="V32" s="78">
        <v>12</v>
      </c>
      <c r="W32" s="77">
        <f>SUM(S32:V32)</f>
        <v>16</v>
      </c>
      <c r="X32" s="83">
        <f>W32/R32*100</f>
        <v>2.9520295202952029</v>
      </c>
      <c r="AA32" s="90"/>
    </row>
    <row r="33" spans="1:31" x14ac:dyDescent="0.2">
      <c r="A33" s="24" t="s">
        <v>24</v>
      </c>
      <c r="B33" s="25">
        <f>E33+J33</f>
        <v>480</v>
      </c>
      <c r="C33" s="26">
        <v>392</v>
      </c>
      <c r="D33" s="27">
        <v>44</v>
      </c>
      <c r="E33" s="28">
        <f>SUM(C33:D33)</f>
        <v>436</v>
      </c>
      <c r="F33" s="26">
        <v>6</v>
      </c>
      <c r="G33" s="29">
        <v>0</v>
      </c>
      <c r="H33" s="29">
        <v>4</v>
      </c>
      <c r="I33" s="30">
        <v>34</v>
      </c>
      <c r="J33" s="26">
        <f>SUM(F33:I33)</f>
        <v>44</v>
      </c>
      <c r="K33" s="31">
        <f>J33/B33</f>
        <v>9.166666666666666E-2</v>
      </c>
      <c r="L33" s="35"/>
      <c r="M33" s="32" t="str">
        <f>A33</f>
        <v xml:space="preserve">Ruch Brigitte </v>
      </c>
      <c r="N33" s="26">
        <f>W33</f>
        <v>10</v>
      </c>
      <c r="O33" s="31">
        <f>N33/B33</f>
        <v>2.0833333333333332E-2</v>
      </c>
      <c r="P33" s="35"/>
      <c r="Q33" s="24" t="str">
        <f t="shared" si="4"/>
        <v xml:space="preserve">Ruch Brigitte </v>
      </c>
      <c r="R33" s="25">
        <f t="shared" si="4"/>
        <v>480</v>
      </c>
      <c r="S33" s="27">
        <v>0</v>
      </c>
      <c r="T33" s="33">
        <v>0</v>
      </c>
      <c r="U33" s="26">
        <v>0</v>
      </c>
      <c r="V33" s="30">
        <v>10</v>
      </c>
      <c r="W33" s="29">
        <f>SUM(S33:V33)</f>
        <v>10</v>
      </c>
      <c r="X33" s="34">
        <f>W33/R33*100</f>
        <v>2.083333333333333</v>
      </c>
      <c r="Y33" s="1"/>
      <c r="AA33" s="69"/>
    </row>
    <row r="34" spans="1:31" x14ac:dyDescent="0.2">
      <c r="A34" s="36"/>
      <c r="B34" s="37"/>
      <c r="C34" s="38"/>
      <c r="D34" s="38"/>
      <c r="E34" s="39"/>
      <c r="F34" s="38"/>
      <c r="G34" s="40"/>
      <c r="H34" s="40"/>
      <c r="I34" s="40"/>
      <c r="J34" s="38"/>
      <c r="K34" s="38"/>
      <c r="L34" s="9"/>
      <c r="M34" s="41"/>
      <c r="N34" s="38"/>
      <c r="O34" s="38"/>
      <c r="P34" s="9"/>
      <c r="Q34" s="36"/>
      <c r="R34" s="37"/>
      <c r="S34" s="38"/>
      <c r="T34" s="39"/>
      <c r="U34" s="38"/>
      <c r="V34" s="40"/>
      <c r="W34" s="40"/>
      <c r="X34" s="42"/>
      <c r="AA34" s="50"/>
    </row>
    <row r="35" spans="1:31" x14ac:dyDescent="0.2">
      <c r="A35" s="43" t="s">
        <v>9</v>
      </c>
      <c r="B35" s="67">
        <f t="shared" ref="B35:J35" si="5">SUM(B31:B33)</f>
        <v>1647</v>
      </c>
      <c r="C35" s="67">
        <f t="shared" si="5"/>
        <v>1176</v>
      </c>
      <c r="D35" s="67">
        <f t="shared" si="5"/>
        <v>227</v>
      </c>
      <c r="E35" s="67">
        <f t="shared" si="5"/>
        <v>1403</v>
      </c>
      <c r="F35" s="67">
        <f>SUM(F31:F34)</f>
        <v>59</v>
      </c>
      <c r="G35" s="67">
        <f t="shared" si="5"/>
        <v>5</v>
      </c>
      <c r="H35" s="67">
        <f t="shared" si="5"/>
        <v>13</v>
      </c>
      <c r="I35" s="67">
        <f t="shared" si="5"/>
        <v>167</v>
      </c>
      <c r="J35" s="67">
        <f t="shared" si="5"/>
        <v>244</v>
      </c>
      <c r="K35" s="46">
        <f>J35/(B35)</f>
        <v>0.14814814814814814</v>
      </c>
      <c r="L35" s="9"/>
      <c r="M35" s="47" t="s">
        <v>9</v>
      </c>
      <c r="N35" s="45">
        <f>SUM(N31:N33)</f>
        <v>60</v>
      </c>
      <c r="O35" s="46">
        <f>N35/B35</f>
        <v>3.6429872495446269E-2</v>
      </c>
      <c r="P35" s="9"/>
      <c r="Q35" s="43" t="s">
        <v>9</v>
      </c>
      <c r="R35" s="67">
        <f t="shared" ref="R35:W35" si="6">SUM(R31:R33)</f>
        <v>1647</v>
      </c>
      <c r="S35" s="67">
        <f t="shared" si="6"/>
        <v>8</v>
      </c>
      <c r="T35" s="67">
        <f t="shared" si="6"/>
        <v>2</v>
      </c>
      <c r="U35" s="67">
        <f t="shared" si="6"/>
        <v>2</v>
      </c>
      <c r="V35" s="67">
        <f t="shared" si="6"/>
        <v>48</v>
      </c>
      <c r="W35" s="67">
        <f t="shared" si="6"/>
        <v>60</v>
      </c>
      <c r="X35" s="49">
        <f>W35/R35*100</f>
        <v>3.6429872495446269</v>
      </c>
      <c r="AA35" s="50"/>
    </row>
    <row r="36" spans="1:31" x14ac:dyDescent="0.2">
      <c r="AA36" s="50"/>
    </row>
    <row r="37" spans="1:31" x14ac:dyDescent="0.2">
      <c r="AA37" s="50"/>
    </row>
    <row r="38" spans="1:31" x14ac:dyDescent="0.2">
      <c r="AA38" s="50"/>
    </row>
    <row r="39" spans="1:31" x14ac:dyDescent="0.2">
      <c r="A39" s="7" t="s">
        <v>12</v>
      </c>
      <c r="AA39" s="50"/>
    </row>
    <row r="40" spans="1:31" ht="35.25" customHeight="1" x14ac:dyDescent="0.2">
      <c r="A40" s="94" t="s">
        <v>0</v>
      </c>
      <c r="B40" s="96" t="s">
        <v>1</v>
      </c>
      <c r="C40" s="99" t="s">
        <v>2</v>
      </c>
      <c r="D40" s="100"/>
      <c r="E40" s="101"/>
      <c r="F40" s="99" t="s">
        <v>3</v>
      </c>
      <c r="G40" s="100"/>
      <c r="H40" s="100"/>
      <c r="I40" s="101"/>
      <c r="J40" s="99" t="s">
        <v>4</v>
      </c>
      <c r="K40" s="101"/>
      <c r="L40" s="9"/>
      <c r="M40" s="102" t="s">
        <v>0</v>
      </c>
      <c r="N40" s="92" t="s">
        <v>5</v>
      </c>
      <c r="O40" s="93"/>
      <c r="P40" s="9"/>
      <c r="Q40" s="94" t="s">
        <v>0</v>
      </c>
      <c r="R40" s="96" t="s">
        <v>1</v>
      </c>
      <c r="S40" s="92" t="s">
        <v>6</v>
      </c>
      <c r="T40" s="98"/>
      <c r="U40" s="98"/>
      <c r="V40" s="93"/>
      <c r="W40" s="10"/>
      <c r="X40" s="11"/>
      <c r="AA40" s="50"/>
    </row>
    <row r="41" spans="1:31" s="3" customFormat="1" x14ac:dyDescent="0.2">
      <c r="A41" s="95"/>
      <c r="B41" s="97"/>
      <c r="C41" s="12" t="s">
        <v>7</v>
      </c>
      <c r="D41" s="13" t="s">
        <v>8</v>
      </c>
      <c r="E41" s="13" t="s">
        <v>9</v>
      </c>
      <c r="F41" s="12" t="s">
        <v>18</v>
      </c>
      <c r="G41" s="13" t="s">
        <v>10</v>
      </c>
      <c r="H41" s="13" t="s">
        <v>11</v>
      </c>
      <c r="I41" s="13" t="s">
        <v>13</v>
      </c>
      <c r="J41" s="12" t="s">
        <v>14</v>
      </c>
      <c r="K41" s="12" t="s">
        <v>15</v>
      </c>
      <c r="L41" s="14"/>
      <c r="M41" s="103"/>
      <c r="N41" s="12" t="s">
        <v>14</v>
      </c>
      <c r="O41" s="12" t="s">
        <v>15</v>
      </c>
      <c r="P41" s="14"/>
      <c r="Q41" s="95"/>
      <c r="R41" s="97"/>
      <c r="S41" s="13" t="str">
        <f>F41</f>
        <v>CVP</v>
      </c>
      <c r="T41" s="13" t="str">
        <f>G41</f>
        <v>FDP</v>
      </c>
      <c r="U41" s="13" t="str">
        <f>H41</f>
        <v>SP/GB</v>
      </c>
      <c r="V41" s="13" t="str">
        <f>I41</f>
        <v>FL</v>
      </c>
      <c r="W41" s="13" t="s">
        <v>9</v>
      </c>
      <c r="X41" s="15" t="s">
        <v>16</v>
      </c>
      <c r="AA41" s="50"/>
    </row>
    <row r="42" spans="1:31" x14ac:dyDescent="0.2">
      <c r="A42" s="16"/>
      <c r="B42" s="17"/>
      <c r="C42" s="18"/>
      <c r="D42" s="18"/>
      <c r="E42" s="19"/>
      <c r="F42" s="20"/>
      <c r="G42" s="21"/>
      <c r="H42" s="21"/>
      <c r="I42" s="21"/>
      <c r="J42" s="20"/>
      <c r="K42" s="20"/>
      <c r="L42" s="9"/>
      <c r="M42" s="22"/>
      <c r="N42" s="20"/>
      <c r="O42" s="20"/>
      <c r="P42" s="9"/>
      <c r="Q42" s="16"/>
      <c r="R42" s="17"/>
      <c r="S42" s="18"/>
      <c r="T42" s="19"/>
      <c r="U42" s="18"/>
      <c r="V42" s="21"/>
      <c r="W42" s="21"/>
      <c r="X42" s="23"/>
      <c r="AA42" s="50"/>
    </row>
    <row r="43" spans="1:31" s="84" customFormat="1" x14ac:dyDescent="0.2">
      <c r="A43" s="72" t="s">
        <v>29</v>
      </c>
      <c r="B43" s="73">
        <f>E43+J43</f>
        <v>649</v>
      </c>
      <c r="C43" s="74">
        <v>284</v>
      </c>
      <c r="D43" s="75">
        <v>124</v>
      </c>
      <c r="E43" s="76">
        <f>SUM(C43:D43)</f>
        <v>408</v>
      </c>
      <c r="F43" s="74">
        <v>76</v>
      </c>
      <c r="G43" s="77">
        <v>20</v>
      </c>
      <c r="H43" s="78">
        <v>15</v>
      </c>
      <c r="I43" s="78">
        <v>130</v>
      </c>
      <c r="J43" s="74">
        <f>SUM(F43:I43)</f>
        <v>241</v>
      </c>
      <c r="K43" s="79">
        <f>J43/B43</f>
        <v>0.37134052388289679</v>
      </c>
      <c r="L43" s="80"/>
      <c r="M43" s="81" t="str">
        <f>A43</f>
        <v xml:space="preserve">Schuler Christian </v>
      </c>
      <c r="N43" s="74">
        <f>W43</f>
        <v>90</v>
      </c>
      <c r="O43" s="79">
        <f>N43/B43</f>
        <v>0.13867488443759629</v>
      </c>
      <c r="P43" s="80"/>
      <c r="Q43" s="72" t="str">
        <f t="shared" ref="Q43:R45" si="7">A43</f>
        <v xml:space="preserve">Schuler Christian </v>
      </c>
      <c r="R43" s="73">
        <f t="shared" si="7"/>
        <v>649</v>
      </c>
      <c r="S43" s="75">
        <v>36</v>
      </c>
      <c r="T43" s="82">
        <v>10</v>
      </c>
      <c r="U43" s="74">
        <v>6</v>
      </c>
      <c r="V43" s="78">
        <v>38</v>
      </c>
      <c r="W43" s="77">
        <f>SUM(S43:V43)</f>
        <v>90</v>
      </c>
      <c r="X43" s="83">
        <f>W43/R43*100</f>
        <v>13.86748844375963</v>
      </c>
      <c r="AA43" s="85"/>
    </row>
    <row r="44" spans="1:31" x14ac:dyDescent="0.2">
      <c r="A44" s="24" t="s">
        <v>30</v>
      </c>
      <c r="B44" s="25">
        <f>E44+J44</f>
        <v>491</v>
      </c>
      <c r="C44" s="26">
        <v>284</v>
      </c>
      <c r="D44" s="27">
        <v>96</v>
      </c>
      <c r="E44" s="28">
        <f>SUM(C44:D44)</f>
        <v>380</v>
      </c>
      <c r="F44" s="26">
        <v>22</v>
      </c>
      <c r="G44" s="29">
        <v>11</v>
      </c>
      <c r="H44" s="30">
        <v>3</v>
      </c>
      <c r="I44" s="30">
        <v>75</v>
      </c>
      <c r="J44" s="26">
        <f>SUM(F44:I44)</f>
        <v>111</v>
      </c>
      <c r="K44" s="31">
        <f>J44/B44</f>
        <v>0.22606924643584522</v>
      </c>
      <c r="L44" s="35"/>
      <c r="M44" s="32" t="str">
        <f>A44</f>
        <v>Marty Walter</v>
      </c>
      <c r="N44" s="26">
        <f>W44</f>
        <v>26</v>
      </c>
      <c r="O44" s="31">
        <f>N44/B44</f>
        <v>5.2953156822810592E-2</v>
      </c>
      <c r="P44" s="35"/>
      <c r="Q44" s="24" t="str">
        <f t="shared" si="7"/>
        <v>Marty Walter</v>
      </c>
      <c r="R44" s="25">
        <f t="shared" si="7"/>
        <v>491</v>
      </c>
      <c r="S44" s="27">
        <v>10</v>
      </c>
      <c r="T44" s="33">
        <v>4</v>
      </c>
      <c r="U44" s="26">
        <v>0</v>
      </c>
      <c r="V44" s="30">
        <v>12</v>
      </c>
      <c r="W44" s="29">
        <f>SUM(S44:V44)</f>
        <v>26</v>
      </c>
      <c r="X44" s="34">
        <f>W44/R44*100</f>
        <v>5.2953156822810588</v>
      </c>
      <c r="Y44" s="1"/>
      <c r="Z44" s="1"/>
      <c r="AA44" s="50"/>
      <c r="AB44" s="1"/>
      <c r="AC44" s="1"/>
      <c r="AD44" s="1"/>
      <c r="AE44" s="1"/>
    </row>
    <row r="45" spans="1:31" s="1" customFormat="1" x14ac:dyDescent="0.2">
      <c r="A45" s="24" t="s">
        <v>31</v>
      </c>
      <c r="B45" s="25">
        <f>E45+J45</f>
        <v>393</v>
      </c>
      <c r="C45" s="26">
        <v>284</v>
      </c>
      <c r="D45" s="27">
        <v>32</v>
      </c>
      <c r="E45" s="28">
        <f>SUM(C45:D45)</f>
        <v>316</v>
      </c>
      <c r="F45" s="26">
        <v>10</v>
      </c>
      <c r="G45" s="29">
        <v>3</v>
      </c>
      <c r="H45" s="30">
        <v>2</v>
      </c>
      <c r="I45" s="30">
        <v>62</v>
      </c>
      <c r="J45" s="26">
        <f>SUM(F45:I45)</f>
        <v>77</v>
      </c>
      <c r="K45" s="31">
        <f>J45/B45</f>
        <v>0.19592875318066158</v>
      </c>
      <c r="L45" s="35"/>
      <c r="M45" s="32" t="str">
        <f>A45</f>
        <v>Levy Flavian</v>
      </c>
      <c r="N45" s="26">
        <f>W45</f>
        <v>22</v>
      </c>
      <c r="O45" s="31">
        <f>N45/B45</f>
        <v>5.5979643765903309E-2</v>
      </c>
      <c r="P45" s="35"/>
      <c r="Q45" s="24" t="str">
        <f t="shared" si="7"/>
        <v>Levy Flavian</v>
      </c>
      <c r="R45" s="25">
        <f t="shared" si="7"/>
        <v>393</v>
      </c>
      <c r="S45" s="27">
        <v>2</v>
      </c>
      <c r="T45" s="33">
        <v>0</v>
      </c>
      <c r="U45" s="26">
        <v>0</v>
      </c>
      <c r="V45" s="30">
        <v>20</v>
      </c>
      <c r="W45" s="29">
        <f>SUM(S45:V45)</f>
        <v>22</v>
      </c>
      <c r="X45" s="34">
        <f>W45/R45*100</f>
        <v>5.5979643765903306</v>
      </c>
      <c r="AA45" s="71"/>
    </row>
    <row r="46" spans="1:31" x14ac:dyDescent="0.2">
      <c r="A46" s="36"/>
      <c r="B46" s="37"/>
      <c r="C46" s="38"/>
      <c r="D46" s="38"/>
      <c r="E46" s="39"/>
      <c r="F46" s="38"/>
      <c r="G46" s="40"/>
      <c r="H46" s="40"/>
      <c r="I46" s="40"/>
      <c r="J46" s="38"/>
      <c r="K46" s="38"/>
      <c r="L46" s="9"/>
      <c r="M46" s="41"/>
      <c r="N46" s="38"/>
      <c r="O46" s="38"/>
      <c r="P46" s="9"/>
      <c r="Q46" s="36"/>
      <c r="R46" s="37"/>
      <c r="S46" s="38"/>
      <c r="T46" s="39"/>
      <c r="U46" s="38"/>
      <c r="V46" s="40"/>
      <c r="W46" s="40"/>
      <c r="X46" s="42"/>
      <c r="AA46" s="50"/>
    </row>
    <row r="47" spans="1:31" x14ac:dyDescent="0.2">
      <c r="A47" s="43" t="s">
        <v>9</v>
      </c>
      <c r="B47" s="44">
        <f>SUM(B43:B45)</f>
        <v>1533</v>
      </c>
      <c r="C47" s="45">
        <f t="shared" ref="C47:J47" si="8">SUM(C43:C46)</f>
        <v>852</v>
      </c>
      <c r="D47" s="45">
        <f t="shared" si="8"/>
        <v>252</v>
      </c>
      <c r="E47" s="45">
        <f t="shared" si="8"/>
        <v>1104</v>
      </c>
      <c r="F47" s="45">
        <f t="shared" si="8"/>
        <v>108</v>
      </c>
      <c r="G47" s="45">
        <f t="shared" si="8"/>
        <v>34</v>
      </c>
      <c r="H47" s="45">
        <f t="shared" si="8"/>
        <v>20</v>
      </c>
      <c r="I47" s="45">
        <f t="shared" si="8"/>
        <v>267</v>
      </c>
      <c r="J47" s="45">
        <f t="shared" si="8"/>
        <v>429</v>
      </c>
      <c r="K47" s="46">
        <f>J47/(B47)</f>
        <v>0.27984344422700586</v>
      </c>
      <c r="L47" s="9"/>
      <c r="M47" s="47" t="s">
        <v>9</v>
      </c>
      <c r="N47" s="45">
        <f>SUM(N43:N46)</f>
        <v>138</v>
      </c>
      <c r="O47" s="46">
        <f>N47/B47</f>
        <v>9.0019569471624261E-2</v>
      </c>
      <c r="P47" s="9"/>
      <c r="Q47" s="43" t="s">
        <v>9</v>
      </c>
      <c r="R47" s="44">
        <f>SUM(R43:R45)</f>
        <v>1533</v>
      </c>
      <c r="S47" s="45">
        <f>SUM(S43:S46)</f>
        <v>48</v>
      </c>
      <c r="T47" s="48">
        <f>SUM(T43:T46)</f>
        <v>14</v>
      </c>
      <c r="U47" s="45">
        <f>SUM(U43:U46)</f>
        <v>6</v>
      </c>
      <c r="V47" s="45">
        <f>SUM(V43:V46)</f>
        <v>70</v>
      </c>
      <c r="W47" s="45">
        <f>SUM(W43:W46)</f>
        <v>138</v>
      </c>
      <c r="X47" s="49">
        <f>W47/R47*100</f>
        <v>9.0019569471624266</v>
      </c>
      <c r="AA47" s="50"/>
    </row>
    <row r="48" spans="1:31" x14ac:dyDescent="0.2">
      <c r="AA48" s="50"/>
    </row>
    <row r="49" spans="27:27" x14ac:dyDescent="0.2">
      <c r="AA49" s="50"/>
    </row>
    <row r="50" spans="27:27" x14ac:dyDescent="0.2">
      <c r="AA50" s="50"/>
    </row>
    <row r="51" spans="27:27" x14ac:dyDescent="0.2">
      <c r="AA51" s="50"/>
    </row>
    <row r="52" spans="27:27" x14ac:dyDescent="0.2">
      <c r="AA52" s="50"/>
    </row>
    <row r="53" spans="27:27" x14ac:dyDescent="0.2">
      <c r="AA53" s="50"/>
    </row>
    <row r="54" spans="27:27" x14ac:dyDescent="0.2">
      <c r="AA54" s="50"/>
    </row>
    <row r="55" spans="27:27" x14ac:dyDescent="0.2">
      <c r="AA55" s="50"/>
    </row>
    <row r="56" spans="27:27" x14ac:dyDescent="0.2">
      <c r="AA56" s="50"/>
    </row>
    <row r="57" spans="27:27" x14ac:dyDescent="0.2">
      <c r="AA57" s="50"/>
    </row>
    <row r="58" spans="27:27" x14ac:dyDescent="0.2">
      <c r="AA58" s="50"/>
    </row>
    <row r="59" spans="27:27" x14ac:dyDescent="0.2">
      <c r="AA59" s="50"/>
    </row>
    <row r="60" spans="27:27" x14ac:dyDescent="0.2">
      <c r="AA60" s="50"/>
    </row>
    <row r="61" spans="27:27" x14ac:dyDescent="0.2">
      <c r="AA61" s="50"/>
    </row>
    <row r="62" spans="27:27" x14ac:dyDescent="0.2">
      <c r="AA62" s="50"/>
    </row>
    <row r="63" spans="27:27" x14ac:dyDescent="0.2">
      <c r="AA63" s="50"/>
    </row>
    <row r="64" spans="27:27" x14ac:dyDescent="0.2">
      <c r="AA64" s="50"/>
    </row>
    <row r="65" spans="27:27" x14ac:dyDescent="0.2">
      <c r="AA65" s="50"/>
    </row>
    <row r="66" spans="27:27" x14ac:dyDescent="0.2">
      <c r="AA66" s="50"/>
    </row>
    <row r="67" spans="27:27" x14ac:dyDescent="0.2">
      <c r="AA67" s="50"/>
    </row>
    <row r="68" spans="27:27" x14ac:dyDescent="0.2">
      <c r="AA68" s="50"/>
    </row>
    <row r="69" spans="27:27" x14ac:dyDescent="0.2">
      <c r="AA69" s="50"/>
    </row>
    <row r="70" spans="27:27" x14ac:dyDescent="0.2">
      <c r="AA70" s="50"/>
    </row>
    <row r="71" spans="27:27" x14ac:dyDescent="0.2">
      <c r="AA71" s="50"/>
    </row>
    <row r="72" spans="27:27" x14ac:dyDescent="0.2">
      <c r="AA72" s="50"/>
    </row>
    <row r="73" spans="27:27" x14ac:dyDescent="0.2">
      <c r="AA73" s="50"/>
    </row>
    <row r="74" spans="27:27" x14ac:dyDescent="0.2">
      <c r="AA74" s="50"/>
    </row>
    <row r="75" spans="27:27" x14ac:dyDescent="0.2">
      <c r="AA75" s="50"/>
    </row>
    <row r="76" spans="27:27" x14ac:dyDescent="0.2">
      <c r="AA76" s="50"/>
    </row>
    <row r="77" spans="27:27" x14ac:dyDescent="0.2">
      <c r="AA77" s="50"/>
    </row>
    <row r="78" spans="27:27" x14ac:dyDescent="0.2">
      <c r="AA78" s="50"/>
    </row>
    <row r="79" spans="27:27" x14ac:dyDescent="0.2">
      <c r="AA79" s="50"/>
    </row>
    <row r="80" spans="27:27" x14ac:dyDescent="0.2">
      <c r="AA80" s="50"/>
    </row>
    <row r="81" spans="27:27" x14ac:dyDescent="0.2">
      <c r="AA81" s="50"/>
    </row>
  </sheetData>
  <sortState ref="A43:AE45">
    <sortCondition descending="1" ref="B43:B45"/>
  </sortState>
  <mergeCells count="40">
    <mergeCell ref="Q40:Q41"/>
    <mergeCell ref="R40:R41"/>
    <mergeCell ref="S40:V40"/>
    <mergeCell ref="Q15:Q16"/>
    <mergeCell ref="R15:R16"/>
    <mergeCell ref="S15:V15"/>
    <mergeCell ref="A40:A41"/>
    <mergeCell ref="B40:B41"/>
    <mergeCell ref="C40:E40"/>
    <mergeCell ref="F40:I40"/>
    <mergeCell ref="S2:V2"/>
    <mergeCell ref="J40:K40"/>
    <mergeCell ref="M40:M41"/>
    <mergeCell ref="N15:O15"/>
    <mergeCell ref="M2:M3"/>
    <mergeCell ref="N2:O2"/>
    <mergeCell ref="M15:M16"/>
    <mergeCell ref="J2:K2"/>
    <mergeCell ref="J15:K15"/>
    <mergeCell ref="N40:O40"/>
    <mergeCell ref="Q2:Q3"/>
    <mergeCell ref="R2:R3"/>
    <mergeCell ref="A15:A16"/>
    <mergeCell ref="B15:B16"/>
    <mergeCell ref="C15:E15"/>
    <mergeCell ref="F15:I15"/>
    <mergeCell ref="A2:A3"/>
    <mergeCell ref="B2:B3"/>
    <mergeCell ref="C2:E2"/>
    <mergeCell ref="F2:I2"/>
    <mergeCell ref="N28:O28"/>
    <mergeCell ref="Q28:Q29"/>
    <mergeCell ref="R28:R29"/>
    <mergeCell ref="S28:V28"/>
    <mergeCell ref="A28:A29"/>
    <mergeCell ref="B28:B29"/>
    <mergeCell ref="C28:E28"/>
    <mergeCell ref="F28:I28"/>
    <mergeCell ref="J28:K28"/>
    <mergeCell ref="M28:M29"/>
  </mergeCells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Ausw. Altdorf</vt:lpstr>
    </vt:vector>
  </TitlesOfParts>
  <Company>Kantonale Verwaltung 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Zurfluh</dc:creator>
  <cp:lastModifiedBy>Zurfluh Adrian</cp:lastModifiedBy>
  <dcterms:created xsi:type="dcterms:W3CDTF">2008-04-15T07:17:48Z</dcterms:created>
  <dcterms:modified xsi:type="dcterms:W3CDTF">2020-05-07T12:13:27Z</dcterms:modified>
</cp:coreProperties>
</file>
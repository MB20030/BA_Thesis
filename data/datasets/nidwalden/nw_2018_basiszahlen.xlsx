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Axioma\CMIAXIOMA\b12d3e7435d0430185a95dbe8e932f1c\"/>
    </mc:Choice>
  </mc:AlternateContent>
  <bookViews>
    <workbookView xWindow="120" yWindow="75" windowWidth="18810" windowHeight="10440"/>
  </bookViews>
  <sheets>
    <sheet name="Basiszahlen" sheetId="1" r:id="rId1"/>
    <sheet name="Tabelle1" sheetId="4" r:id="rId2"/>
    <sheet name="Oberzuteilung" sheetId="2" r:id="rId3"/>
    <sheet name="Unterzuteilung" sheetId="3" r:id="rId4"/>
  </sheets>
  <calcPr calcId="162913"/>
</workbook>
</file>

<file path=xl/calcChain.xml><?xml version="1.0" encoding="utf-8"?>
<calcChain xmlns="http://schemas.openxmlformats.org/spreadsheetml/2006/main">
  <c r="P25" i="4" l="1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L23" i="3" l="1"/>
  <c r="K23" i="3"/>
  <c r="M23" i="3"/>
  <c r="N23" i="3"/>
  <c r="P24" i="1"/>
  <c r="O24" i="1"/>
  <c r="N24" i="1"/>
  <c r="M24" i="1"/>
  <c r="J23" i="3"/>
  <c r="I23" i="3"/>
  <c r="H23" i="3"/>
  <c r="G23" i="3"/>
  <c r="F23" i="3"/>
  <c r="E23" i="3"/>
  <c r="D23" i="3"/>
  <c r="C23" i="3"/>
  <c r="B23" i="3"/>
  <c r="L24" i="1"/>
  <c r="K24" i="1"/>
  <c r="J24" i="1"/>
  <c r="I24" i="1"/>
  <c r="H24" i="1"/>
  <c r="G24" i="1"/>
  <c r="F24" i="1"/>
  <c r="E24" i="1"/>
  <c r="B24" i="1"/>
  <c r="C24" i="1"/>
  <c r="D24" i="1"/>
</calcChain>
</file>

<file path=xl/sharedStrings.xml><?xml version="1.0" encoding="utf-8"?>
<sst xmlns="http://schemas.openxmlformats.org/spreadsheetml/2006/main" count="148" uniqueCount="58">
  <si>
    <t>Gemeinde</t>
  </si>
  <si>
    <t>Stimmen</t>
  </si>
  <si>
    <t>Sitze</t>
  </si>
  <si>
    <t>CVP</t>
  </si>
  <si>
    <t>FDP</t>
  </si>
  <si>
    <t>SVP</t>
  </si>
  <si>
    <t>Beckenried</t>
  </si>
  <si>
    <t>Buochs</t>
  </si>
  <si>
    <t>Dallenwil</t>
  </si>
  <si>
    <t>Emmetten</t>
  </si>
  <si>
    <t>Ennetbürgen</t>
  </si>
  <si>
    <t>Ennetmoos</t>
  </si>
  <si>
    <t>Hergiswil</t>
  </si>
  <si>
    <t>Oberdorf</t>
  </si>
  <si>
    <t>Stans</t>
  </si>
  <si>
    <t>Stansstad</t>
  </si>
  <si>
    <t>Wolfenschiessen</t>
  </si>
  <si>
    <t>Total</t>
  </si>
  <si>
    <t>Die Basiszahlen weisen die Anzahl erzielter Stimmen und die Wählerzahl der einzelnen Listen für den Kanton und die einzelnen Gemeinden aus.</t>
  </si>
  <si>
    <t>Wählerzahl</t>
  </si>
  <si>
    <t>1. Basiszahlen</t>
  </si>
  <si>
    <t>2. Oberzuteilung</t>
  </si>
  <si>
    <t>Liste</t>
  </si>
  <si>
    <t>Quotient</t>
  </si>
  <si>
    <t>Wahlschlüssel</t>
  </si>
  <si>
    <t>Sitze Gesamt</t>
  </si>
  <si>
    <t>Sitzanspruch</t>
  </si>
  <si>
    <t>Mit der Oberzuteilung wird der Sitzanspruch der einzelnen Listen im ganzen Kanton festgelegt.</t>
  </si>
  <si>
    <t>3. abschliessende Unterzuteilung</t>
  </si>
  <si>
    <t>Wahlkreis-</t>
  </si>
  <si>
    <t>divisor</t>
  </si>
  <si>
    <t>Parteidivisor</t>
  </si>
  <si>
    <t>Mit der Unterzuteilung wird die Zahl der Sitze je Liste in den einzelnen Gemeinden festgelegt. Die Parteistimmenzahl einer Liste wird durch den Wahlkreis-Divisor und den Listengruppen-Divisor geteilt.</t>
  </si>
  <si>
    <t>Wahlergebnis der Landratswahlen vom 4. März 2018</t>
  </si>
  <si>
    <t>parteilos</t>
  </si>
  <si>
    <t>SP/JUSO</t>
  </si>
  <si>
    <t>NEMITZ</t>
  </si>
  <si>
    <t>WZ</t>
  </si>
  <si>
    <t>Grüne</t>
  </si>
  <si>
    <t>WZ = Wählerzahl</t>
  </si>
  <si>
    <t>SP/Juso</t>
  </si>
  <si>
    <t>.875</t>
  </si>
  <si>
    <t>1.0791015625</t>
  </si>
  <si>
    <t>.50</t>
  </si>
  <si>
    <t>.375</t>
  </si>
  <si>
    <t>.95361328125</t>
  </si>
  <si>
    <t>.40625</t>
  </si>
  <si>
    <t>.796875</t>
  </si>
  <si>
    <t>1.702880859375</t>
  </si>
  <si>
    <t>.7915492728352547</t>
  </si>
  <si>
    <t>1.112823486328125</t>
  </si>
  <si>
    <t>.5</t>
  </si>
  <si>
    <t>1841.06236228516</t>
  </si>
  <si>
    <t>663</t>
  </si>
  <si>
    <t>1715.78443908691</t>
  </si>
  <si>
    <t>1878.5498046875</t>
  </si>
  <si>
    <t>1620.68735867288</t>
  </si>
  <si>
    <t>1135.10206604004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</si>
</sst>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#,##0;[Red]#,##0"/>
  </numFmts>
  <fonts count="12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6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01">
    <xf numFmtId="0" fontId="0" fillId="0" borderId="0" xfId="0"/>
    <xf numFmtId="0" fontId="4" fillId="0" borderId="0" xfId="0" applyFont="1"/>
    <xf numFmtId="0" fontId="6" fillId="0" borderId="0" xfId="0" applyFont="1"/>
    <xf numFmtId="0" fontId="5" fillId="0" borderId="0" xfId="0" applyFont="1"/>
    <xf numFmtId="0" fontId="3" fillId="0" borderId="2" xfId="0" applyFont="1" applyBorder="1"/>
    <xf numFmtId="0" fontId="3" fillId="0" borderId="3" xfId="0" applyFont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5" fillId="2" borderId="8" xfId="0" applyFont="1" applyFill="1" applyBorder="1"/>
    <xf numFmtId="0" fontId="5" fillId="2" borderId="9" xfId="0" applyFont="1" applyFill="1" applyBorder="1"/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/>
    <xf numFmtId="0" fontId="3" fillId="0" borderId="14" xfId="0" applyFont="1" applyBorder="1"/>
    <xf numFmtId="0" fontId="3" fillId="2" borderId="15" xfId="0" applyFont="1" applyFill="1" applyBorder="1"/>
    <xf numFmtId="0" fontId="3" fillId="0" borderId="15" xfId="0" applyFont="1" applyBorder="1"/>
    <xf numFmtId="0" fontId="3" fillId="0" borderId="16" xfId="0" applyFont="1" applyBorder="1"/>
    <xf numFmtId="0" fontId="2" fillId="3" borderId="17" xfId="0" applyFont="1" applyFill="1" applyBorder="1"/>
    <xf numFmtId="0" fontId="0" fillId="3" borderId="18" xfId="0" applyFill="1" applyBorder="1"/>
    <xf numFmtId="0" fontId="2" fillId="3" borderId="11" xfId="0" applyFont="1" applyFill="1" applyBorder="1"/>
    <xf numFmtId="0" fontId="0" fillId="3" borderId="19" xfId="0" applyFill="1" applyBorder="1"/>
    <xf numFmtId="0" fontId="3" fillId="0" borderId="20" xfId="0" applyFont="1" applyBorder="1"/>
    <xf numFmtId="0" fontId="3" fillId="2" borderId="21" xfId="0" applyFont="1" applyFill="1" applyBorder="1"/>
    <xf numFmtId="0" fontId="3" fillId="0" borderId="21" xfId="0" applyFont="1" applyBorder="1"/>
    <xf numFmtId="0" fontId="3" fillId="0" borderId="22" xfId="0" applyFont="1" applyBorder="1"/>
    <xf numFmtId="0" fontId="5" fillId="2" borderId="23" xfId="0" applyFont="1" applyFill="1" applyBorder="1"/>
    <xf numFmtId="0" fontId="0" fillId="0" borderId="24" xfId="0" applyBorder="1"/>
    <xf numFmtId="0" fontId="5" fillId="2" borderId="1" xfId="0" applyFont="1" applyFill="1" applyBorder="1"/>
    <xf numFmtId="0" fontId="3" fillId="0" borderId="0" xfId="0" applyFont="1"/>
    <xf numFmtId="0" fontId="3" fillId="0" borderId="25" xfId="0" applyFont="1" applyBorder="1"/>
    <xf numFmtId="0" fontId="3" fillId="2" borderId="25" xfId="0" applyFont="1" applyFill="1" applyBorder="1"/>
    <xf numFmtId="0" fontId="5" fillId="2" borderId="25" xfId="0" applyFont="1" applyFill="1" applyBorder="1"/>
    <xf numFmtId="0" fontId="2" fillId="3" borderId="18" xfId="0" applyFont="1" applyFill="1" applyBorder="1"/>
    <xf numFmtId="0" fontId="3" fillId="0" borderId="0" xfId="0" applyFont="1" applyBorder="1"/>
    <xf numFmtId="0" fontId="5" fillId="4" borderId="26" xfId="0" applyFont="1" applyFill="1" applyBorder="1"/>
    <xf numFmtId="164" fontId="3" fillId="0" borderId="25" xfId="1" applyNumberFormat="1" applyFont="1" applyBorder="1"/>
    <xf numFmtId="164" fontId="3" fillId="2" borderId="25" xfId="1" applyNumberFormat="1" applyFont="1" applyFill="1" applyBorder="1"/>
    <xf numFmtId="3" fontId="3" fillId="2" borderId="4" xfId="0" applyNumberFormat="1" applyFont="1" applyFill="1" applyBorder="1"/>
    <xf numFmtId="3" fontId="3" fillId="0" borderId="4" xfId="0" applyNumberFormat="1" applyFont="1" applyBorder="1"/>
    <xf numFmtId="3" fontId="3" fillId="0" borderId="2" xfId="0" applyNumberFormat="1" applyFont="1" applyBorder="1"/>
    <xf numFmtId="3" fontId="3" fillId="0" borderId="6" xfId="0" applyNumberFormat="1" applyFont="1" applyBorder="1"/>
    <xf numFmtId="49" fontId="9" fillId="0" borderId="14" xfId="0" applyNumberFormat="1" applyFont="1" applyBorder="1"/>
    <xf numFmtId="49" fontId="9" fillId="2" borderId="15" xfId="0" applyNumberFormat="1" applyFont="1" applyFill="1" applyBorder="1"/>
    <xf numFmtId="49" fontId="9" fillId="0" borderId="15" xfId="0" applyNumberFormat="1" applyFont="1" applyBorder="1"/>
    <xf numFmtId="49" fontId="0" fillId="0" borderId="0" xfId="0" applyNumberFormat="1"/>
    <xf numFmtId="0" fontId="5" fillId="2" borderId="17" xfId="0" applyFont="1" applyFill="1" applyBorder="1"/>
    <xf numFmtId="0" fontId="5" fillId="2" borderId="27" xfId="0" applyFont="1" applyFill="1" applyBorder="1"/>
    <xf numFmtId="3" fontId="5" fillId="2" borderId="28" xfId="0" applyNumberFormat="1" applyFont="1" applyFill="1" applyBorder="1"/>
    <xf numFmtId="0" fontId="5" fillId="2" borderId="29" xfId="0" applyFont="1" applyFill="1" applyBorder="1"/>
    <xf numFmtId="0" fontId="5" fillId="2" borderId="10" xfId="0" applyFont="1" applyFill="1" applyBorder="1"/>
    <xf numFmtId="0" fontId="0" fillId="0" borderId="25" xfId="0" applyBorder="1"/>
    <xf numFmtId="0" fontId="7" fillId="3" borderId="0" xfId="0" applyFont="1" applyFill="1"/>
    <xf numFmtId="0" fontId="10" fillId="3" borderId="0" xfId="0" applyFont="1" applyFill="1"/>
    <xf numFmtId="0" fontId="10" fillId="0" borderId="0" xfId="0" applyFont="1"/>
    <xf numFmtId="0" fontId="1" fillId="3" borderId="13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/>
    </xf>
    <xf numFmtId="2" fontId="3" fillId="0" borderId="25" xfId="0" applyNumberFormat="1" applyFont="1" applyBorder="1"/>
    <xf numFmtId="2" fontId="3" fillId="2" borderId="25" xfId="0" applyNumberFormat="1" applyFont="1" applyFill="1" applyBorder="1"/>
    <xf numFmtId="0" fontId="0" fillId="0" borderId="33" xfId="0" applyBorder="1"/>
    <xf numFmtId="0" fontId="0" fillId="0" borderId="34" xfId="0" applyBorder="1"/>
    <xf numFmtId="0" fontId="5" fillId="0" borderId="30" xfId="0" applyFont="1" applyBorder="1"/>
    <xf numFmtId="0" fontId="0" fillId="0" borderId="31" xfId="0" applyBorder="1"/>
    <xf numFmtId="0" fontId="0" fillId="0" borderId="15" xfId="0" applyFont="1" applyBorder="1"/>
    <xf numFmtId="0" fontId="0" fillId="0" borderId="14" xfId="0" applyFont="1" applyBorder="1"/>
    <xf numFmtId="0" fontId="0" fillId="0" borderId="20" xfId="0" applyFont="1" applyBorder="1"/>
    <xf numFmtId="3" fontId="0" fillId="0" borderId="2" xfId="0" applyNumberFormat="1" applyFont="1" applyBorder="1"/>
    <xf numFmtId="0" fontId="0" fillId="0" borderId="3" xfId="0" applyFont="1" applyBorder="1"/>
    <xf numFmtId="0" fontId="0" fillId="0" borderId="2" xfId="0" applyFont="1" applyBorder="1"/>
    <xf numFmtId="0" fontId="0" fillId="2" borderId="15" xfId="0" applyFont="1" applyFill="1" applyBorder="1"/>
    <xf numFmtId="0" fontId="0" fillId="2" borderId="21" xfId="0" applyFont="1" applyFill="1" applyBorder="1"/>
    <xf numFmtId="3" fontId="0" fillId="2" borderId="4" xfId="0" applyNumberFormat="1" applyFont="1" applyFill="1" applyBorder="1"/>
    <xf numFmtId="0" fontId="0" fillId="2" borderId="5" xfId="0" applyFont="1" applyFill="1" applyBorder="1"/>
    <xf numFmtId="0" fontId="0" fillId="2" borderId="4" xfId="0" applyFont="1" applyFill="1" applyBorder="1"/>
    <xf numFmtId="0" fontId="0" fillId="0" borderId="21" xfId="0" applyFont="1" applyBorder="1"/>
    <xf numFmtId="0" fontId="0" fillId="0" borderId="4" xfId="0" applyFont="1" applyBorder="1"/>
    <xf numFmtId="0" fontId="0" fillId="0" borderId="5" xfId="0" applyFont="1" applyBorder="1"/>
    <xf numFmtId="3" fontId="0" fillId="0" borderId="4" xfId="0" applyNumberFormat="1" applyFont="1" applyBorder="1"/>
    <xf numFmtId="0" fontId="0" fillId="0" borderId="16" xfId="0" applyFont="1" applyBorder="1"/>
    <xf numFmtId="0" fontId="0" fillId="0" borderId="22" xfId="0" applyFont="1" applyBorder="1"/>
    <xf numFmtId="0" fontId="0" fillId="0" borderId="6" xfId="0" applyFont="1" applyBorder="1"/>
    <xf numFmtId="0" fontId="0" fillId="0" borderId="7" xfId="0" applyFont="1" applyBorder="1"/>
    <xf numFmtId="0" fontId="1" fillId="2" borderId="1" xfId="0" applyFont="1" applyFill="1" applyBorder="1"/>
    <xf numFmtId="0" fontId="1" fillId="2" borderId="23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49" fontId="4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49" fontId="0" fillId="0" borderId="31" xfId="0" applyNumberFormat="1" applyBorder="1" applyAlignment="1">
      <alignment horizontal="right" wrapText="1"/>
    </xf>
    <xf numFmtId="49" fontId="0" fillId="0" borderId="32" xfId="0" applyNumberFormat="1" applyBorder="1" applyAlignment="1">
      <alignment horizontal="right" wrapText="1"/>
    </xf>
    <xf numFmtId="0" fontId="0" fillId="0" borderId="34" xfId="0" applyBorder="1" applyAlignment="1">
      <alignment wrapText="1"/>
    </xf>
    <xf numFmtId="0" fontId="0" fillId="0" borderId="35" xfId="0" applyBorder="1" applyAlignment="1">
      <alignment wrapText="1"/>
    </xf>
    <xf numFmtId="49" fontId="0" fillId="0" borderId="32" xfId="0" applyNumberFormat="1" applyBorder="1" applyAlignment="1">
      <alignment horizontal="right" vertical="top" wrapText="1"/>
    </xf>
    <xf numFmtId="0" fontId="0" fillId="0" borderId="35" xfId="0" applyBorder="1" applyAlignment="1">
      <alignment vertical="top" wrapText="1"/>
    </xf>
    <xf numFmtId="0" fontId="11" fillId="3" borderId="12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/>
    </xf>
  </cellXfs>
  <cellStyles count="2">
    <cellStyle name="Komma" xfId="1" builtinId="3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4"/>
  <sheetViews>
    <sheetView tabSelected="1" topLeftCell="A14" zoomScaleNormal="100" workbookViewId="0">
      <selection activeCell="I21" sqref="I21"/>
    </sheetView>
  </sheetViews>
  <sheetFormatPr baseColWidth="10" defaultRowHeight="12.75" x14ac:dyDescent="0.2"/>
  <cols>
    <col min="1" max="1" width="15" customWidth="1"/>
    <col min="2" max="2" width="6" customWidth="1"/>
    <col min="3" max="3" width="8" customWidth="1"/>
    <col min="4" max="4" width="5.42578125" customWidth="1"/>
    <col min="5" max="5" width="7.42578125" customWidth="1"/>
    <col min="6" max="6" width="4.85546875" customWidth="1"/>
    <col min="7" max="7" width="7.7109375" customWidth="1"/>
    <col min="8" max="8" width="4.42578125" customWidth="1"/>
    <col min="9" max="9" width="8.140625" customWidth="1"/>
    <col min="10" max="10" width="6.42578125" customWidth="1"/>
    <col min="11" max="11" width="8.140625" customWidth="1"/>
    <col min="12" max="12" width="5.42578125" customWidth="1"/>
    <col min="13" max="13" width="8" customWidth="1"/>
    <col min="14" max="14" width="6.42578125" customWidth="1"/>
    <col min="15" max="15" width="8" customWidth="1"/>
    <col min="16" max="16" width="6.140625" customWidth="1"/>
  </cols>
  <sheetData>
    <row r="2" spans="1:16" s="56" customFormat="1" ht="20.25" x14ac:dyDescent="0.3">
      <c r="A2" s="54" t="s">
        <v>33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3" spans="1:16" s="56" customFormat="1" ht="20.25" x14ac:dyDescent="0.3"/>
    <row r="4" spans="1:16" s="3" customFormat="1" ht="18" x14ac:dyDescent="0.25">
      <c r="A4" s="2" t="s">
        <v>20</v>
      </c>
    </row>
    <row r="6" spans="1:16" ht="14.25" x14ac:dyDescent="0.2">
      <c r="A6" s="1" t="s">
        <v>18</v>
      </c>
    </row>
    <row r="7" spans="1:16" ht="14.25" x14ac:dyDescent="0.2">
      <c r="A7" s="1" t="s">
        <v>39</v>
      </c>
    </row>
    <row r="8" spans="1:16" ht="13.5" thickBot="1" x14ac:dyDescent="0.25"/>
    <row r="9" spans="1:16" ht="15" x14ac:dyDescent="0.25">
      <c r="A9" s="20" t="s">
        <v>0</v>
      </c>
      <c r="B9" s="22" t="s">
        <v>2</v>
      </c>
      <c r="C9" s="88" t="s">
        <v>5</v>
      </c>
      <c r="D9" s="89"/>
      <c r="E9" s="88" t="s">
        <v>36</v>
      </c>
      <c r="F9" s="89"/>
      <c r="G9" s="88" t="s">
        <v>34</v>
      </c>
      <c r="H9" s="89"/>
      <c r="I9" s="88" t="s">
        <v>3</v>
      </c>
      <c r="J9" s="89"/>
      <c r="K9" s="88" t="s">
        <v>35</v>
      </c>
      <c r="L9" s="89"/>
      <c r="M9" s="88" t="s">
        <v>38</v>
      </c>
      <c r="N9" s="89"/>
      <c r="O9" s="88" t="s">
        <v>4</v>
      </c>
      <c r="P9" s="89"/>
    </row>
    <row r="10" spans="1:16" ht="13.5" thickBot="1" x14ac:dyDescent="0.25">
      <c r="A10" s="21"/>
      <c r="B10" s="23"/>
      <c r="C10" s="100" t="s">
        <v>1</v>
      </c>
      <c r="D10" s="99" t="s">
        <v>37</v>
      </c>
      <c r="E10" s="98" t="s">
        <v>1</v>
      </c>
      <c r="F10" s="58" t="s">
        <v>37</v>
      </c>
      <c r="G10" s="98" t="s">
        <v>1</v>
      </c>
      <c r="H10" s="58" t="s">
        <v>37</v>
      </c>
      <c r="I10" s="98" t="s">
        <v>1</v>
      </c>
      <c r="J10" s="58" t="s">
        <v>37</v>
      </c>
      <c r="K10" s="98" t="s">
        <v>1</v>
      </c>
      <c r="L10" s="58" t="s">
        <v>37</v>
      </c>
      <c r="M10" s="98" t="s">
        <v>1</v>
      </c>
      <c r="N10" s="58" t="s">
        <v>37</v>
      </c>
      <c r="O10" s="98" t="s">
        <v>1</v>
      </c>
      <c r="P10" s="58" t="s">
        <v>37</v>
      </c>
    </row>
    <row r="11" spans="1:16" ht="13.5" thickBot="1" x14ac:dyDescent="0.25">
      <c r="A11" s="29"/>
    </row>
    <row r="12" spans="1:16" ht="24.95" customHeight="1" x14ac:dyDescent="0.2">
      <c r="A12" s="66" t="s">
        <v>6</v>
      </c>
      <c r="B12" s="67">
        <v>5</v>
      </c>
      <c r="C12" s="68">
        <v>2042</v>
      </c>
      <c r="D12" s="69">
        <v>408</v>
      </c>
      <c r="E12" s="68">
        <v>663</v>
      </c>
      <c r="F12" s="69">
        <v>133</v>
      </c>
      <c r="G12" s="68">
        <v>0</v>
      </c>
      <c r="H12" s="69">
        <v>0</v>
      </c>
      <c r="I12" s="68">
        <v>1451</v>
      </c>
      <c r="J12" s="69">
        <v>290</v>
      </c>
      <c r="K12" s="70">
        <v>257</v>
      </c>
      <c r="L12" s="69">
        <v>51</v>
      </c>
      <c r="M12" s="70">
        <v>1016</v>
      </c>
      <c r="N12" s="69">
        <v>203</v>
      </c>
      <c r="O12" s="70">
        <v>2035</v>
      </c>
      <c r="P12" s="69">
        <v>407</v>
      </c>
    </row>
    <row r="13" spans="1:16" ht="24.95" customHeight="1" x14ac:dyDescent="0.2">
      <c r="A13" s="71" t="s">
        <v>7</v>
      </c>
      <c r="B13" s="72">
        <v>8</v>
      </c>
      <c r="C13" s="73">
        <v>3670</v>
      </c>
      <c r="D13" s="74">
        <v>459</v>
      </c>
      <c r="E13" s="73">
        <v>0</v>
      </c>
      <c r="F13" s="74">
        <v>0</v>
      </c>
      <c r="G13" s="73">
        <v>0</v>
      </c>
      <c r="H13" s="74">
        <v>0</v>
      </c>
      <c r="I13" s="73">
        <v>4686</v>
      </c>
      <c r="J13" s="74">
        <v>586</v>
      </c>
      <c r="K13" s="75">
        <v>517</v>
      </c>
      <c r="L13" s="74">
        <v>65</v>
      </c>
      <c r="M13" s="75">
        <v>1673</v>
      </c>
      <c r="N13" s="74">
        <v>209</v>
      </c>
      <c r="O13" s="75">
        <v>4306</v>
      </c>
      <c r="P13" s="74">
        <v>538</v>
      </c>
    </row>
    <row r="14" spans="1:16" ht="24.95" customHeight="1" x14ac:dyDescent="0.2">
      <c r="A14" s="65" t="s">
        <v>8</v>
      </c>
      <c r="B14" s="76">
        <v>3</v>
      </c>
      <c r="C14" s="77">
        <v>704</v>
      </c>
      <c r="D14" s="78">
        <v>235</v>
      </c>
      <c r="E14" s="77">
        <v>0</v>
      </c>
      <c r="F14" s="78">
        <v>0</v>
      </c>
      <c r="G14" s="77">
        <v>0</v>
      </c>
      <c r="H14" s="78">
        <v>0</v>
      </c>
      <c r="I14" s="77">
        <v>484</v>
      </c>
      <c r="J14" s="78">
        <v>161</v>
      </c>
      <c r="K14" s="77">
        <v>0</v>
      </c>
      <c r="L14" s="78">
        <v>0</v>
      </c>
      <c r="M14" s="77">
        <v>338</v>
      </c>
      <c r="N14" s="78">
        <v>113</v>
      </c>
      <c r="O14" s="77">
        <v>886</v>
      </c>
      <c r="P14" s="78">
        <v>295</v>
      </c>
    </row>
    <row r="15" spans="1:16" ht="24.95" customHeight="1" x14ac:dyDescent="0.2">
      <c r="A15" s="71" t="s">
        <v>9</v>
      </c>
      <c r="B15" s="72">
        <v>2</v>
      </c>
      <c r="C15" s="75">
        <v>360</v>
      </c>
      <c r="D15" s="74">
        <v>180</v>
      </c>
      <c r="E15" s="75">
        <v>0</v>
      </c>
      <c r="F15" s="74">
        <v>0</v>
      </c>
      <c r="G15" s="75">
        <v>0</v>
      </c>
      <c r="H15" s="74">
        <v>0</v>
      </c>
      <c r="I15" s="75">
        <v>369</v>
      </c>
      <c r="J15" s="74">
        <v>185</v>
      </c>
      <c r="K15" s="75">
        <v>0</v>
      </c>
      <c r="L15" s="74">
        <v>0</v>
      </c>
      <c r="M15" s="75">
        <v>0</v>
      </c>
      <c r="N15" s="74">
        <v>0</v>
      </c>
      <c r="O15" s="75">
        <v>220</v>
      </c>
      <c r="P15" s="74">
        <v>110</v>
      </c>
    </row>
    <row r="16" spans="1:16" ht="24.95" customHeight="1" x14ac:dyDescent="0.2">
      <c r="A16" s="65" t="s">
        <v>10</v>
      </c>
      <c r="B16" s="76">
        <v>6</v>
      </c>
      <c r="C16" s="79">
        <v>2337</v>
      </c>
      <c r="D16" s="78">
        <v>390</v>
      </c>
      <c r="E16" s="79">
        <v>0</v>
      </c>
      <c r="F16" s="78">
        <v>0</v>
      </c>
      <c r="G16" s="79">
        <v>568</v>
      </c>
      <c r="H16" s="78">
        <v>95</v>
      </c>
      <c r="I16" s="79">
        <v>3818</v>
      </c>
      <c r="J16" s="78">
        <v>636</v>
      </c>
      <c r="K16" s="77">
        <v>0</v>
      </c>
      <c r="L16" s="78">
        <v>0</v>
      </c>
      <c r="M16" s="77">
        <v>1444</v>
      </c>
      <c r="N16" s="78">
        <v>241</v>
      </c>
      <c r="O16" s="77">
        <v>2363</v>
      </c>
      <c r="P16" s="78">
        <v>394</v>
      </c>
    </row>
    <row r="17" spans="1:16" ht="24.95" customHeight="1" x14ac:dyDescent="0.2">
      <c r="A17" s="71" t="s">
        <v>11</v>
      </c>
      <c r="B17" s="72">
        <v>3</v>
      </c>
      <c r="C17" s="75">
        <v>748</v>
      </c>
      <c r="D17" s="74">
        <v>249</v>
      </c>
      <c r="E17" s="75">
        <v>0</v>
      </c>
      <c r="F17" s="74">
        <v>0</v>
      </c>
      <c r="G17" s="75">
        <v>0</v>
      </c>
      <c r="H17" s="74">
        <v>0</v>
      </c>
      <c r="I17" s="75">
        <v>1015</v>
      </c>
      <c r="J17" s="74">
        <v>338</v>
      </c>
      <c r="K17" s="75">
        <v>0</v>
      </c>
      <c r="L17" s="74">
        <v>0</v>
      </c>
      <c r="M17" s="75">
        <v>423</v>
      </c>
      <c r="N17" s="74">
        <v>141</v>
      </c>
      <c r="O17" s="75">
        <v>287</v>
      </c>
      <c r="P17" s="74">
        <v>96</v>
      </c>
    </row>
    <row r="18" spans="1:16" ht="24.95" customHeight="1" x14ac:dyDescent="0.2">
      <c r="A18" s="65" t="s">
        <v>12</v>
      </c>
      <c r="B18" s="76">
        <v>8</v>
      </c>
      <c r="C18" s="79">
        <v>3943</v>
      </c>
      <c r="D18" s="78">
        <v>493</v>
      </c>
      <c r="E18" s="79">
        <v>0</v>
      </c>
      <c r="F18" s="78">
        <v>0</v>
      </c>
      <c r="G18" s="79">
        <v>0</v>
      </c>
      <c r="H18" s="78">
        <v>0</v>
      </c>
      <c r="I18" s="79">
        <v>2258</v>
      </c>
      <c r="J18" s="78">
        <v>282</v>
      </c>
      <c r="K18" s="77">
        <v>636</v>
      </c>
      <c r="L18" s="78">
        <v>80</v>
      </c>
      <c r="M18" s="77">
        <v>1467</v>
      </c>
      <c r="N18" s="78">
        <v>183</v>
      </c>
      <c r="O18" s="77">
        <v>6292</v>
      </c>
      <c r="P18" s="78">
        <v>787</v>
      </c>
    </row>
    <row r="19" spans="1:16" ht="24.95" customHeight="1" x14ac:dyDescent="0.2">
      <c r="A19" s="71" t="s">
        <v>13</v>
      </c>
      <c r="B19" s="72">
        <v>4</v>
      </c>
      <c r="C19" s="73">
        <v>1493</v>
      </c>
      <c r="D19" s="74">
        <v>373</v>
      </c>
      <c r="E19" s="75">
        <v>0</v>
      </c>
      <c r="F19" s="74">
        <v>0</v>
      </c>
      <c r="G19" s="75">
        <v>0</v>
      </c>
      <c r="H19" s="74">
        <v>0</v>
      </c>
      <c r="I19" s="73">
        <v>2086</v>
      </c>
      <c r="J19" s="74">
        <v>522</v>
      </c>
      <c r="K19" s="75">
        <v>451</v>
      </c>
      <c r="L19" s="74">
        <v>113</v>
      </c>
      <c r="M19" s="75">
        <v>524</v>
      </c>
      <c r="N19" s="74">
        <v>131</v>
      </c>
      <c r="O19" s="75">
        <v>974</v>
      </c>
      <c r="P19" s="74">
        <v>244</v>
      </c>
    </row>
    <row r="20" spans="1:16" ht="24.95" customHeight="1" x14ac:dyDescent="0.2">
      <c r="A20" s="65" t="s">
        <v>14</v>
      </c>
      <c r="B20" s="76">
        <v>12</v>
      </c>
      <c r="C20" s="79">
        <v>7913</v>
      </c>
      <c r="D20" s="78">
        <v>659</v>
      </c>
      <c r="E20" s="79">
        <v>0</v>
      </c>
      <c r="F20" s="78">
        <v>0</v>
      </c>
      <c r="G20" s="79">
        <v>0</v>
      </c>
      <c r="H20" s="78">
        <v>0</v>
      </c>
      <c r="I20" s="79">
        <v>7097</v>
      </c>
      <c r="J20" s="78">
        <v>591</v>
      </c>
      <c r="K20" s="79">
        <v>4727</v>
      </c>
      <c r="L20" s="78">
        <v>394</v>
      </c>
      <c r="M20" s="79">
        <v>7945</v>
      </c>
      <c r="N20" s="78">
        <v>662</v>
      </c>
      <c r="O20" s="79">
        <v>9004</v>
      </c>
      <c r="P20" s="78">
        <v>750</v>
      </c>
    </row>
    <row r="21" spans="1:16" ht="24.95" customHeight="1" x14ac:dyDescent="0.2">
      <c r="A21" s="71" t="s">
        <v>15</v>
      </c>
      <c r="B21" s="72">
        <v>6</v>
      </c>
      <c r="C21" s="73">
        <v>2172</v>
      </c>
      <c r="D21" s="74">
        <v>362</v>
      </c>
      <c r="E21" s="75">
        <v>0</v>
      </c>
      <c r="F21" s="74">
        <v>0</v>
      </c>
      <c r="G21" s="73">
        <v>0</v>
      </c>
      <c r="H21" s="74">
        <v>0</v>
      </c>
      <c r="I21" s="73">
        <v>1813</v>
      </c>
      <c r="J21" s="74">
        <v>302</v>
      </c>
      <c r="K21" s="75">
        <v>0</v>
      </c>
      <c r="L21" s="74">
        <v>0</v>
      </c>
      <c r="M21" s="75">
        <v>1335</v>
      </c>
      <c r="N21" s="74">
        <v>223</v>
      </c>
      <c r="O21" s="75">
        <v>3232</v>
      </c>
      <c r="P21" s="74">
        <v>539</v>
      </c>
    </row>
    <row r="22" spans="1:16" ht="24.95" customHeight="1" x14ac:dyDescent="0.2">
      <c r="A22" s="65" t="s">
        <v>16</v>
      </c>
      <c r="B22" s="76">
        <v>3</v>
      </c>
      <c r="C22" s="77">
        <v>789</v>
      </c>
      <c r="D22" s="78">
        <v>263</v>
      </c>
      <c r="E22" s="77">
        <v>0</v>
      </c>
      <c r="F22" s="78">
        <v>0</v>
      </c>
      <c r="G22" s="77">
        <v>0</v>
      </c>
      <c r="H22" s="78">
        <v>0</v>
      </c>
      <c r="I22" s="77">
        <v>925</v>
      </c>
      <c r="J22" s="78">
        <v>308</v>
      </c>
      <c r="K22" s="77">
        <v>0</v>
      </c>
      <c r="L22" s="78">
        <v>0</v>
      </c>
      <c r="M22" s="77">
        <v>0</v>
      </c>
      <c r="N22" s="78">
        <v>0</v>
      </c>
      <c r="O22" s="77">
        <v>724</v>
      </c>
      <c r="P22" s="78">
        <v>241</v>
      </c>
    </row>
    <row r="23" spans="1:16" ht="24.95" customHeight="1" thickBot="1" x14ac:dyDescent="0.25">
      <c r="A23" s="80"/>
      <c r="B23" s="81"/>
      <c r="C23" s="82"/>
      <c r="D23" s="83"/>
      <c r="E23" s="82"/>
      <c r="F23" s="83"/>
      <c r="G23" s="82"/>
      <c r="H23" s="83"/>
      <c r="I23" s="82"/>
      <c r="J23" s="83"/>
      <c r="K23" s="82"/>
      <c r="L23" s="83"/>
      <c r="M23" s="82"/>
      <c r="N23" s="83"/>
      <c r="O23" s="82"/>
      <c r="P23" s="83"/>
    </row>
    <row r="24" spans="1:16" ht="24.95" customHeight="1" thickBot="1" x14ac:dyDescent="0.25">
      <c r="A24" s="84" t="s">
        <v>17</v>
      </c>
      <c r="B24" s="85">
        <f t="shared" ref="B24:L24" si="0">SUM(B12:B23)</f>
        <v>60</v>
      </c>
      <c r="C24" s="86">
        <f t="shared" si="0"/>
        <v>26171</v>
      </c>
      <c r="D24" s="87">
        <f t="shared" si="0"/>
        <v>4071</v>
      </c>
      <c r="E24" s="86">
        <f t="shared" si="0"/>
        <v>663</v>
      </c>
      <c r="F24" s="87">
        <f t="shared" si="0"/>
        <v>133</v>
      </c>
      <c r="G24" s="86">
        <f t="shared" si="0"/>
        <v>568</v>
      </c>
      <c r="H24" s="87">
        <f t="shared" si="0"/>
        <v>95</v>
      </c>
      <c r="I24" s="86">
        <f t="shared" si="0"/>
        <v>26002</v>
      </c>
      <c r="J24" s="87">
        <f t="shared" si="0"/>
        <v>4201</v>
      </c>
      <c r="K24" s="86">
        <f t="shared" si="0"/>
        <v>6588</v>
      </c>
      <c r="L24" s="87">
        <f t="shared" si="0"/>
        <v>703</v>
      </c>
      <c r="M24" s="86">
        <f t="shared" ref="M24:P24" si="1">SUM(M12:M23)</f>
        <v>16165</v>
      </c>
      <c r="N24" s="87">
        <f t="shared" si="1"/>
        <v>2106</v>
      </c>
      <c r="O24" s="86">
        <f t="shared" si="1"/>
        <v>30323</v>
      </c>
      <c r="P24" s="87">
        <f t="shared" si="1"/>
        <v>4401</v>
      </c>
    </row>
  </sheetData>
  <mergeCells count="7">
    <mergeCell ref="O9:P9"/>
    <mergeCell ref="M9:N9"/>
    <mergeCell ref="C9:D9"/>
    <mergeCell ref="E9:F9"/>
    <mergeCell ref="G9:H9"/>
    <mergeCell ref="I9:J9"/>
    <mergeCell ref="K9:L9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25"/>
  <sheetViews>
    <sheetView workbookViewId="0">
      <selection activeCell="G37" sqref="G37"/>
    </sheetView>
  </sheetViews>
  <sheetFormatPr baseColWidth="10" defaultRowHeight="12.75" x14ac:dyDescent="0.2"/>
  <cols>
    <col min="2" max="2" width="5.140625" customWidth="1"/>
    <col min="3" max="3" width="7.28515625" customWidth="1"/>
  </cols>
  <sheetData>
    <row r="3" spans="1:16" ht="20.25" x14ac:dyDescent="0.3">
      <c r="A3" s="54" t="s">
        <v>33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</row>
    <row r="4" spans="1:16" ht="20.25" x14ac:dyDescent="0.3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</row>
    <row r="5" spans="1:16" ht="18" x14ac:dyDescent="0.25">
      <c r="A5" s="2" t="s">
        <v>20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7" spans="1:16" ht="14.25" x14ac:dyDescent="0.2">
      <c r="A7" s="1" t="s">
        <v>18</v>
      </c>
    </row>
    <row r="8" spans="1:16" ht="14.25" x14ac:dyDescent="0.2">
      <c r="A8" s="1" t="s">
        <v>39</v>
      </c>
    </row>
    <row r="9" spans="1:16" ht="13.5" thickBot="1" x14ac:dyDescent="0.25"/>
    <row r="10" spans="1:16" ht="15" x14ac:dyDescent="0.25">
      <c r="A10" s="20" t="s">
        <v>0</v>
      </c>
      <c r="B10" s="22" t="s">
        <v>2</v>
      </c>
      <c r="C10" s="88" t="s">
        <v>5</v>
      </c>
      <c r="D10" s="89"/>
      <c r="E10" s="88" t="s">
        <v>36</v>
      </c>
      <c r="F10" s="89"/>
      <c r="G10" s="88" t="s">
        <v>34</v>
      </c>
      <c r="H10" s="89"/>
      <c r="I10" s="88" t="s">
        <v>3</v>
      </c>
      <c r="J10" s="89"/>
      <c r="K10" s="88" t="s">
        <v>35</v>
      </c>
      <c r="L10" s="89"/>
      <c r="M10" s="88" t="s">
        <v>38</v>
      </c>
      <c r="N10" s="89"/>
      <c r="O10" s="88" t="s">
        <v>4</v>
      </c>
      <c r="P10" s="89"/>
    </row>
    <row r="11" spans="1:16" ht="13.5" thickBot="1" x14ac:dyDescent="0.25">
      <c r="A11" s="21"/>
      <c r="B11" s="23"/>
      <c r="C11" s="14" t="s">
        <v>1</v>
      </c>
      <c r="D11" s="57" t="s">
        <v>37</v>
      </c>
      <c r="E11" s="14" t="s">
        <v>1</v>
      </c>
      <c r="F11" s="58" t="s">
        <v>37</v>
      </c>
      <c r="G11" s="14" t="s">
        <v>1</v>
      </c>
      <c r="H11" s="58" t="s">
        <v>37</v>
      </c>
      <c r="I11" s="14" t="s">
        <v>1</v>
      </c>
      <c r="J11" s="58" t="s">
        <v>37</v>
      </c>
      <c r="K11" s="14" t="s">
        <v>1</v>
      </c>
      <c r="L11" s="58" t="s">
        <v>37</v>
      </c>
      <c r="M11" s="14" t="s">
        <v>1</v>
      </c>
      <c r="N11" s="58" t="s">
        <v>37</v>
      </c>
      <c r="O11" s="14" t="s">
        <v>1</v>
      </c>
      <c r="P11" s="58" t="s">
        <v>37</v>
      </c>
    </row>
    <row r="12" spans="1:16" ht="13.5" thickBot="1" x14ac:dyDescent="0.25">
      <c r="A12" s="29"/>
    </row>
    <row r="13" spans="1:16" ht="15" x14ac:dyDescent="0.2">
      <c r="A13" s="16" t="s">
        <v>6</v>
      </c>
      <c r="B13" s="24">
        <v>5</v>
      </c>
      <c r="C13" s="42">
        <v>2042</v>
      </c>
      <c r="D13" s="5">
        <v>408</v>
      </c>
      <c r="E13" s="42">
        <v>663</v>
      </c>
      <c r="F13" s="5">
        <v>133</v>
      </c>
      <c r="G13" s="42">
        <v>0</v>
      </c>
      <c r="H13" s="5">
        <v>0</v>
      </c>
      <c r="I13" s="42">
        <v>1451</v>
      </c>
      <c r="J13" s="5">
        <v>290</v>
      </c>
      <c r="K13" s="4">
        <v>257</v>
      </c>
      <c r="L13" s="5">
        <v>51</v>
      </c>
      <c r="M13" s="4">
        <v>1016</v>
      </c>
      <c r="N13" s="5">
        <v>203</v>
      </c>
      <c r="O13" s="4">
        <v>2035</v>
      </c>
      <c r="P13" s="5">
        <v>407</v>
      </c>
    </row>
    <row r="14" spans="1:16" ht="15" x14ac:dyDescent="0.2">
      <c r="A14" s="17" t="s">
        <v>7</v>
      </c>
      <c r="B14" s="25">
        <v>8</v>
      </c>
      <c r="C14" s="40">
        <v>3670</v>
      </c>
      <c r="D14" s="7">
        <v>459</v>
      </c>
      <c r="E14" s="40">
        <v>0</v>
      </c>
      <c r="F14" s="7">
        <v>0</v>
      </c>
      <c r="G14" s="40">
        <v>0</v>
      </c>
      <c r="H14" s="7">
        <v>0</v>
      </c>
      <c r="I14" s="40">
        <v>4686</v>
      </c>
      <c r="J14" s="7">
        <v>586</v>
      </c>
      <c r="K14" s="6">
        <v>517</v>
      </c>
      <c r="L14" s="7">
        <v>65</v>
      </c>
      <c r="M14" s="6">
        <v>1673</v>
      </c>
      <c r="N14" s="7">
        <v>209</v>
      </c>
      <c r="O14" s="6">
        <v>4306</v>
      </c>
      <c r="P14" s="7">
        <v>538</v>
      </c>
    </row>
    <row r="15" spans="1:16" ht="15" x14ac:dyDescent="0.2">
      <c r="A15" s="18" t="s">
        <v>8</v>
      </c>
      <c r="B15" s="26">
        <v>3</v>
      </c>
      <c r="C15" s="8">
        <v>704</v>
      </c>
      <c r="D15" s="9">
        <v>235</v>
      </c>
      <c r="E15" s="8">
        <v>0</v>
      </c>
      <c r="F15" s="9">
        <v>0</v>
      </c>
      <c r="G15" s="8">
        <v>0</v>
      </c>
      <c r="H15" s="9">
        <v>0</v>
      </c>
      <c r="I15" s="8">
        <v>484</v>
      </c>
      <c r="J15" s="9">
        <v>161</v>
      </c>
      <c r="K15" s="8">
        <v>0</v>
      </c>
      <c r="L15" s="9">
        <v>0</v>
      </c>
      <c r="M15" s="8">
        <v>338</v>
      </c>
      <c r="N15" s="9">
        <v>113</v>
      </c>
      <c r="O15" s="8">
        <v>886</v>
      </c>
      <c r="P15" s="9">
        <v>295</v>
      </c>
    </row>
    <row r="16" spans="1:16" ht="15" x14ac:dyDescent="0.2">
      <c r="A16" s="17" t="s">
        <v>9</v>
      </c>
      <c r="B16" s="25">
        <v>2</v>
      </c>
      <c r="C16" s="6">
        <v>360</v>
      </c>
      <c r="D16" s="7">
        <v>180</v>
      </c>
      <c r="E16" s="6">
        <v>0</v>
      </c>
      <c r="F16" s="7">
        <v>0</v>
      </c>
      <c r="G16" s="6">
        <v>0</v>
      </c>
      <c r="H16" s="7">
        <v>0</v>
      </c>
      <c r="I16" s="6">
        <v>369</v>
      </c>
      <c r="J16" s="7">
        <v>185</v>
      </c>
      <c r="K16" s="6">
        <v>0</v>
      </c>
      <c r="L16" s="7">
        <v>0</v>
      </c>
      <c r="M16" s="6">
        <v>0</v>
      </c>
      <c r="N16" s="7">
        <v>0</v>
      </c>
      <c r="O16" s="6">
        <v>220</v>
      </c>
      <c r="P16" s="7">
        <v>110</v>
      </c>
    </row>
    <row r="17" spans="1:16" ht="15" x14ac:dyDescent="0.2">
      <c r="A17" s="18" t="s">
        <v>10</v>
      </c>
      <c r="B17" s="26">
        <v>6</v>
      </c>
      <c r="C17" s="41">
        <v>2337</v>
      </c>
      <c r="D17" s="9">
        <v>390</v>
      </c>
      <c r="E17" s="41">
        <v>0</v>
      </c>
      <c r="F17" s="9">
        <v>0</v>
      </c>
      <c r="G17" s="41">
        <v>568</v>
      </c>
      <c r="H17" s="9">
        <v>95</v>
      </c>
      <c r="I17" s="41">
        <v>3818</v>
      </c>
      <c r="J17" s="9">
        <v>636</v>
      </c>
      <c r="K17" s="8">
        <v>0</v>
      </c>
      <c r="L17" s="9">
        <v>0</v>
      </c>
      <c r="M17" s="8">
        <v>1444</v>
      </c>
      <c r="N17" s="9">
        <v>241</v>
      </c>
      <c r="O17" s="8">
        <v>2363</v>
      </c>
      <c r="P17" s="9">
        <v>394</v>
      </c>
    </row>
    <row r="18" spans="1:16" ht="15" x14ac:dyDescent="0.2">
      <c r="A18" s="17" t="s">
        <v>11</v>
      </c>
      <c r="B18" s="25">
        <v>3</v>
      </c>
      <c r="C18" s="6">
        <v>748</v>
      </c>
      <c r="D18" s="7">
        <v>249</v>
      </c>
      <c r="E18" s="6">
        <v>0</v>
      </c>
      <c r="F18" s="7">
        <v>0</v>
      </c>
      <c r="G18" s="6">
        <v>0</v>
      </c>
      <c r="H18" s="7">
        <v>0</v>
      </c>
      <c r="I18" s="6">
        <v>1015</v>
      </c>
      <c r="J18" s="7">
        <v>338</v>
      </c>
      <c r="K18" s="6">
        <v>0</v>
      </c>
      <c r="L18" s="7">
        <v>0</v>
      </c>
      <c r="M18" s="6">
        <v>423</v>
      </c>
      <c r="N18" s="7">
        <v>141</v>
      </c>
      <c r="O18" s="6">
        <v>287</v>
      </c>
      <c r="P18" s="7">
        <v>96</v>
      </c>
    </row>
    <row r="19" spans="1:16" ht="15" x14ac:dyDescent="0.2">
      <c r="A19" s="18" t="s">
        <v>12</v>
      </c>
      <c r="B19" s="26">
        <v>8</v>
      </c>
      <c r="C19" s="41">
        <v>3943</v>
      </c>
      <c r="D19" s="9">
        <v>493</v>
      </c>
      <c r="E19" s="41">
        <v>0</v>
      </c>
      <c r="F19" s="9">
        <v>0</v>
      </c>
      <c r="G19" s="41">
        <v>0</v>
      </c>
      <c r="H19" s="9">
        <v>0</v>
      </c>
      <c r="I19" s="41">
        <v>2258</v>
      </c>
      <c r="J19" s="9">
        <v>282</v>
      </c>
      <c r="K19" s="8">
        <v>636</v>
      </c>
      <c r="L19" s="9">
        <v>80</v>
      </c>
      <c r="M19" s="8">
        <v>1467</v>
      </c>
      <c r="N19" s="9">
        <v>183</v>
      </c>
      <c r="O19" s="8">
        <v>6292</v>
      </c>
      <c r="P19" s="9">
        <v>787</v>
      </c>
    </row>
    <row r="20" spans="1:16" ht="15" x14ac:dyDescent="0.2">
      <c r="A20" s="17" t="s">
        <v>13</v>
      </c>
      <c r="B20" s="25">
        <v>4</v>
      </c>
      <c r="C20" s="40">
        <v>1493</v>
      </c>
      <c r="D20" s="7">
        <v>373</v>
      </c>
      <c r="E20" s="6">
        <v>0</v>
      </c>
      <c r="F20" s="7">
        <v>0</v>
      </c>
      <c r="G20" s="6">
        <v>0</v>
      </c>
      <c r="H20" s="7">
        <v>0</v>
      </c>
      <c r="I20" s="40">
        <v>2086</v>
      </c>
      <c r="J20" s="7">
        <v>522</v>
      </c>
      <c r="K20" s="6">
        <v>451</v>
      </c>
      <c r="L20" s="7">
        <v>113</v>
      </c>
      <c r="M20" s="6">
        <v>524</v>
      </c>
      <c r="N20" s="7">
        <v>131</v>
      </c>
      <c r="O20" s="6">
        <v>974</v>
      </c>
      <c r="P20" s="7">
        <v>244</v>
      </c>
    </row>
    <row r="21" spans="1:16" ht="15" x14ac:dyDescent="0.2">
      <c r="A21" s="18" t="s">
        <v>14</v>
      </c>
      <c r="B21" s="26">
        <v>12</v>
      </c>
      <c r="C21" s="41">
        <v>7913</v>
      </c>
      <c r="D21" s="9">
        <v>659</v>
      </c>
      <c r="E21" s="41">
        <v>0</v>
      </c>
      <c r="F21" s="9">
        <v>0</v>
      </c>
      <c r="G21" s="41">
        <v>0</v>
      </c>
      <c r="H21" s="9">
        <v>0</v>
      </c>
      <c r="I21" s="41">
        <v>7097</v>
      </c>
      <c r="J21" s="9">
        <v>591</v>
      </c>
      <c r="K21" s="41">
        <v>4727</v>
      </c>
      <c r="L21" s="9">
        <v>394</v>
      </c>
      <c r="M21" s="41">
        <v>7945</v>
      </c>
      <c r="N21" s="9">
        <v>662</v>
      </c>
      <c r="O21" s="41">
        <v>9004</v>
      </c>
      <c r="P21" s="9">
        <v>750</v>
      </c>
    </row>
    <row r="22" spans="1:16" ht="15" x14ac:dyDescent="0.2">
      <c r="A22" s="17" t="s">
        <v>15</v>
      </c>
      <c r="B22" s="25">
        <v>6</v>
      </c>
      <c r="C22" s="40">
        <v>2172</v>
      </c>
      <c r="D22" s="7">
        <v>362</v>
      </c>
      <c r="E22" s="6">
        <v>0</v>
      </c>
      <c r="F22" s="7">
        <v>0</v>
      </c>
      <c r="G22" s="40">
        <v>0</v>
      </c>
      <c r="H22" s="7">
        <v>0</v>
      </c>
      <c r="I22" s="40">
        <v>1813</v>
      </c>
      <c r="J22" s="7">
        <v>302</v>
      </c>
      <c r="K22" s="6">
        <v>0</v>
      </c>
      <c r="L22" s="7">
        <v>0</v>
      </c>
      <c r="M22" s="6">
        <v>1335</v>
      </c>
      <c r="N22" s="7">
        <v>223</v>
      </c>
      <c r="O22" s="6">
        <v>3232</v>
      </c>
      <c r="P22" s="7">
        <v>539</v>
      </c>
    </row>
    <row r="23" spans="1:16" ht="15" x14ac:dyDescent="0.2">
      <c r="A23" s="65" t="s">
        <v>16</v>
      </c>
      <c r="B23" s="26">
        <v>3</v>
      </c>
      <c r="C23" s="8">
        <v>789</v>
      </c>
      <c r="D23" s="9">
        <v>263</v>
      </c>
      <c r="E23" s="8">
        <v>0</v>
      </c>
      <c r="F23" s="9">
        <v>0</v>
      </c>
      <c r="G23" s="8">
        <v>0</v>
      </c>
      <c r="H23" s="9">
        <v>0</v>
      </c>
      <c r="I23" s="8">
        <v>925</v>
      </c>
      <c r="J23" s="9">
        <v>308</v>
      </c>
      <c r="K23" s="8">
        <v>0</v>
      </c>
      <c r="L23" s="9">
        <v>0</v>
      </c>
      <c r="M23" s="8">
        <v>0</v>
      </c>
      <c r="N23" s="9">
        <v>0</v>
      </c>
      <c r="O23" s="8">
        <v>724</v>
      </c>
      <c r="P23" s="9">
        <v>241</v>
      </c>
    </row>
    <row r="24" spans="1:16" ht="15.75" thickBot="1" x14ac:dyDescent="0.25">
      <c r="A24" s="19"/>
      <c r="B24" s="27"/>
      <c r="C24" s="10"/>
      <c r="D24" s="11"/>
      <c r="E24" s="10"/>
      <c r="F24" s="11"/>
      <c r="G24" s="10"/>
      <c r="H24" s="11"/>
      <c r="I24" s="10"/>
      <c r="J24" s="11"/>
      <c r="K24" s="10"/>
      <c r="L24" s="11"/>
      <c r="M24" s="10"/>
      <c r="N24" s="11"/>
      <c r="O24" s="10"/>
      <c r="P24" s="11"/>
    </row>
    <row r="25" spans="1:16" ht="16.5" thickBot="1" x14ac:dyDescent="0.3">
      <c r="A25" s="30" t="s">
        <v>17</v>
      </c>
      <c r="B25" s="28">
        <f t="shared" ref="B25:P25" si="0">SUM(B13:B24)</f>
        <v>60</v>
      </c>
      <c r="C25" s="12">
        <f t="shared" si="0"/>
        <v>26171</v>
      </c>
      <c r="D25" s="13">
        <f t="shared" si="0"/>
        <v>4071</v>
      </c>
      <c r="E25" s="12">
        <f t="shared" si="0"/>
        <v>663</v>
      </c>
      <c r="F25" s="13">
        <f t="shared" si="0"/>
        <v>133</v>
      </c>
      <c r="G25" s="12">
        <f t="shared" si="0"/>
        <v>568</v>
      </c>
      <c r="H25" s="13">
        <f t="shared" si="0"/>
        <v>95</v>
      </c>
      <c r="I25" s="12">
        <f t="shared" si="0"/>
        <v>26002</v>
      </c>
      <c r="J25" s="13">
        <f t="shared" si="0"/>
        <v>4201</v>
      </c>
      <c r="K25" s="12">
        <f t="shared" si="0"/>
        <v>6588</v>
      </c>
      <c r="L25" s="13">
        <f t="shared" si="0"/>
        <v>703</v>
      </c>
      <c r="M25" s="12">
        <f t="shared" si="0"/>
        <v>16165</v>
      </c>
      <c r="N25" s="13">
        <f t="shared" si="0"/>
        <v>2106</v>
      </c>
      <c r="O25" s="12">
        <f t="shared" si="0"/>
        <v>30323</v>
      </c>
      <c r="P25" s="13">
        <f t="shared" si="0"/>
        <v>4401</v>
      </c>
    </row>
  </sheetData>
  <mergeCells count="7">
    <mergeCell ref="O10:P10"/>
    <mergeCell ref="C10:D10"/>
    <mergeCell ref="E10:F10"/>
    <mergeCell ref="G10:H10"/>
    <mergeCell ref="I10:J10"/>
    <mergeCell ref="K10:L10"/>
    <mergeCell ref="M10:N10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8"/>
  <sheetViews>
    <sheetView view="pageLayout" topLeftCell="A4" zoomScaleNormal="100" workbookViewId="0">
      <selection activeCell="F19" sqref="F19"/>
    </sheetView>
  </sheetViews>
  <sheetFormatPr baseColWidth="10" defaultRowHeight="12.75" x14ac:dyDescent="0.2"/>
  <cols>
    <col min="2" max="2" width="13.7109375" customWidth="1"/>
    <col min="3" max="3" width="14.140625" customWidth="1"/>
    <col min="4" max="4" width="13.7109375" customWidth="1"/>
    <col min="5" max="5" width="15.28515625" customWidth="1"/>
  </cols>
  <sheetData>
    <row r="3" spans="1:6" s="2" customFormat="1" ht="18" x14ac:dyDescent="0.25">
      <c r="A3" s="2" t="s">
        <v>21</v>
      </c>
    </row>
    <row r="5" spans="1:6" s="31" customFormat="1" ht="15" x14ac:dyDescent="0.2">
      <c r="A5" s="1" t="s">
        <v>27</v>
      </c>
    </row>
    <row r="6" spans="1:6" s="31" customFormat="1" ht="15" x14ac:dyDescent="0.2">
      <c r="A6" s="1"/>
    </row>
    <row r="7" spans="1:6" ht="20.100000000000001" customHeight="1" x14ac:dyDescent="0.25">
      <c r="A7" s="31"/>
      <c r="B7" s="31"/>
      <c r="C7" s="31"/>
      <c r="D7" s="31"/>
      <c r="E7" s="31" t="s">
        <v>25</v>
      </c>
      <c r="F7" s="3">
        <v>60</v>
      </c>
    </row>
    <row r="8" spans="1:6" ht="20.100000000000001" customHeight="1" x14ac:dyDescent="0.2">
      <c r="A8" s="31"/>
      <c r="B8" s="31"/>
      <c r="C8" s="31"/>
      <c r="D8" s="31"/>
      <c r="E8" s="31" t="s">
        <v>24</v>
      </c>
      <c r="F8" s="31">
        <v>264.32</v>
      </c>
    </row>
    <row r="9" spans="1:6" ht="20.100000000000001" customHeight="1" x14ac:dyDescent="0.2">
      <c r="A9" s="31"/>
      <c r="B9" s="31"/>
      <c r="C9" s="31"/>
      <c r="D9" s="31"/>
      <c r="E9" s="31"/>
      <c r="F9" s="31"/>
    </row>
    <row r="10" spans="1:6" ht="20.100000000000001" customHeight="1" x14ac:dyDescent="0.25">
      <c r="A10" s="34" t="s">
        <v>22</v>
      </c>
      <c r="B10" s="34" t="s">
        <v>1</v>
      </c>
      <c r="C10" s="34" t="s">
        <v>19</v>
      </c>
      <c r="D10" s="34" t="s">
        <v>23</v>
      </c>
      <c r="E10" s="34" t="s">
        <v>26</v>
      </c>
      <c r="F10" s="31"/>
    </row>
    <row r="11" spans="1:6" ht="20.100000000000001" customHeight="1" x14ac:dyDescent="0.2">
      <c r="A11" s="32"/>
      <c r="B11" s="32"/>
      <c r="C11" s="32"/>
      <c r="D11" s="32"/>
      <c r="E11" s="32"/>
      <c r="F11" s="31"/>
    </row>
    <row r="12" spans="1:6" ht="20.100000000000001" customHeight="1" x14ac:dyDescent="0.2">
      <c r="A12" s="32" t="s">
        <v>5</v>
      </c>
      <c r="B12" s="38">
        <v>26171</v>
      </c>
      <c r="C12" s="38">
        <v>4071</v>
      </c>
      <c r="D12" s="59">
        <v>15.4</v>
      </c>
      <c r="E12" s="32">
        <v>15</v>
      </c>
      <c r="F12" s="31"/>
    </row>
    <row r="13" spans="1:6" ht="20.100000000000001" customHeight="1" x14ac:dyDescent="0.2">
      <c r="A13" s="33" t="s">
        <v>36</v>
      </c>
      <c r="B13" s="39">
        <v>663</v>
      </c>
      <c r="C13" s="39">
        <v>133</v>
      </c>
      <c r="D13" s="60">
        <v>0.5</v>
      </c>
      <c r="E13" s="33">
        <v>1</v>
      </c>
      <c r="F13" s="31"/>
    </row>
    <row r="14" spans="1:6" ht="20.100000000000001" customHeight="1" x14ac:dyDescent="0.2">
      <c r="A14" s="32" t="s">
        <v>34</v>
      </c>
      <c r="B14" s="38">
        <v>568</v>
      </c>
      <c r="C14" s="38">
        <v>95</v>
      </c>
      <c r="D14" s="59">
        <v>0.36</v>
      </c>
      <c r="E14" s="32">
        <v>0</v>
      </c>
      <c r="F14" s="31"/>
    </row>
    <row r="15" spans="1:6" ht="20.100000000000001" customHeight="1" x14ac:dyDescent="0.2">
      <c r="A15" s="33" t="s">
        <v>3</v>
      </c>
      <c r="B15" s="39">
        <v>26002</v>
      </c>
      <c r="C15" s="39">
        <v>4201</v>
      </c>
      <c r="D15" s="60">
        <v>15.89</v>
      </c>
      <c r="E15" s="33">
        <v>16</v>
      </c>
      <c r="F15" s="31"/>
    </row>
    <row r="16" spans="1:6" ht="20.100000000000001" customHeight="1" x14ac:dyDescent="0.2">
      <c r="A16" s="32" t="s">
        <v>40</v>
      </c>
      <c r="B16" s="38">
        <v>6588</v>
      </c>
      <c r="C16" s="38">
        <v>703</v>
      </c>
      <c r="D16" s="59">
        <v>2.66</v>
      </c>
      <c r="E16" s="32">
        <v>3</v>
      </c>
      <c r="F16" s="31"/>
    </row>
    <row r="17" spans="1:5" ht="20.100000000000001" customHeight="1" x14ac:dyDescent="0.2">
      <c r="A17" s="33" t="s">
        <v>38</v>
      </c>
      <c r="B17" s="39">
        <v>16165</v>
      </c>
      <c r="C17" s="39">
        <v>2106</v>
      </c>
      <c r="D17" s="60">
        <v>7.97</v>
      </c>
      <c r="E17" s="33">
        <v>8</v>
      </c>
    </row>
    <row r="18" spans="1:5" ht="18" customHeight="1" x14ac:dyDescent="0.2">
      <c r="A18" s="32" t="s">
        <v>4</v>
      </c>
      <c r="B18" s="38">
        <v>30323</v>
      </c>
      <c r="C18" s="38">
        <v>4401</v>
      </c>
      <c r="D18" s="59">
        <v>16.649999999999999</v>
      </c>
      <c r="E18" s="32">
        <v>17</v>
      </c>
    </row>
  </sheetData>
  <pageMargins left="0.7" right="0.7" top="0.78740157499999996" bottom="0.78740157499999996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29"/>
  <sheetViews>
    <sheetView topLeftCell="A5" zoomScaleNormal="100" workbookViewId="0">
      <selection activeCell="M20" sqref="M20"/>
    </sheetView>
  </sheetViews>
  <sheetFormatPr baseColWidth="10" defaultRowHeight="12.75" x14ac:dyDescent="0.2"/>
  <cols>
    <col min="1" max="1" width="18" customWidth="1"/>
    <col min="2" max="2" width="6.140625" customWidth="1"/>
    <col min="3" max="3" width="9" customWidth="1"/>
    <col min="4" max="4" width="5.42578125" customWidth="1"/>
    <col min="5" max="5" width="9.28515625" customWidth="1"/>
    <col min="6" max="6" width="5.42578125" customWidth="1"/>
    <col min="7" max="7" width="9.28515625" customWidth="1"/>
    <col min="8" max="8" width="4.85546875" customWidth="1"/>
    <col min="9" max="9" width="8.7109375" customWidth="1"/>
    <col min="10" max="10" width="6.5703125" customWidth="1"/>
    <col min="11" max="11" width="8.5703125" customWidth="1"/>
    <col min="12" max="12" width="5.140625" customWidth="1"/>
    <col min="13" max="13" width="8.7109375" customWidth="1"/>
    <col min="14" max="14" width="5.5703125" customWidth="1"/>
    <col min="15" max="15" width="18" customWidth="1"/>
  </cols>
  <sheetData>
    <row r="3" spans="1:15" ht="18" x14ac:dyDescent="0.25">
      <c r="A3" s="2" t="s">
        <v>28</v>
      </c>
    </row>
    <row r="5" spans="1:15" ht="39" customHeight="1" x14ac:dyDescent="0.2">
      <c r="A5" s="90" t="s">
        <v>32</v>
      </c>
      <c r="B5" s="91"/>
      <c r="C5" s="91"/>
      <c r="D5" s="91"/>
      <c r="E5" s="91"/>
      <c r="F5" s="91"/>
      <c r="G5" s="91"/>
      <c r="H5" s="91"/>
      <c r="I5" s="91"/>
    </row>
    <row r="6" spans="1:15" x14ac:dyDescent="0.2">
      <c r="A6" s="91"/>
      <c r="B6" s="91"/>
      <c r="C6" s="91"/>
      <c r="D6" s="91"/>
      <c r="E6" s="91"/>
      <c r="F6" s="91"/>
      <c r="G6" s="91"/>
      <c r="H6" s="91"/>
      <c r="I6" s="91"/>
    </row>
    <row r="7" spans="1:15" ht="13.5" thickBot="1" x14ac:dyDescent="0.25"/>
    <row r="8" spans="1:15" ht="15" x14ac:dyDescent="0.25">
      <c r="A8" s="20" t="s">
        <v>0</v>
      </c>
      <c r="B8" s="22" t="s">
        <v>2</v>
      </c>
      <c r="C8" s="88" t="s">
        <v>5</v>
      </c>
      <c r="D8" s="89"/>
      <c r="E8" s="88" t="s">
        <v>36</v>
      </c>
      <c r="F8" s="89"/>
      <c r="G8" s="88" t="s">
        <v>3</v>
      </c>
      <c r="H8" s="89"/>
      <c r="I8" s="88" t="s">
        <v>35</v>
      </c>
      <c r="J8" s="89"/>
      <c r="K8" s="88" t="s">
        <v>38</v>
      </c>
      <c r="L8" s="89"/>
      <c r="M8" s="88" t="s">
        <v>4</v>
      </c>
      <c r="N8" s="89"/>
      <c r="O8" s="20" t="s">
        <v>29</v>
      </c>
    </row>
    <row r="9" spans="1:15" ht="15.75" thickBot="1" x14ac:dyDescent="0.3">
      <c r="A9" s="21"/>
      <c r="B9" s="23"/>
      <c r="C9" s="14" t="s">
        <v>1</v>
      </c>
      <c r="D9" s="15" t="s">
        <v>2</v>
      </c>
      <c r="E9" s="14" t="s">
        <v>1</v>
      </c>
      <c r="F9" s="15" t="s">
        <v>2</v>
      </c>
      <c r="G9" s="14" t="s">
        <v>1</v>
      </c>
      <c r="H9" s="15" t="s">
        <v>2</v>
      </c>
      <c r="I9" s="14" t="s">
        <v>1</v>
      </c>
      <c r="J9" s="15" t="s">
        <v>2</v>
      </c>
      <c r="K9" s="14" t="s">
        <v>1</v>
      </c>
      <c r="L9" s="15" t="s">
        <v>2</v>
      </c>
      <c r="M9" s="14" t="s">
        <v>1</v>
      </c>
      <c r="N9" s="15" t="s">
        <v>2</v>
      </c>
      <c r="O9" s="35" t="s">
        <v>30</v>
      </c>
    </row>
    <row r="10" spans="1:15" ht="13.5" thickBot="1" x14ac:dyDescent="0.25">
      <c r="A10" s="29"/>
    </row>
    <row r="11" spans="1:15" ht="15" x14ac:dyDescent="0.2">
      <c r="A11" s="16" t="s">
        <v>6</v>
      </c>
      <c r="B11" s="24">
        <v>5</v>
      </c>
      <c r="C11" s="42">
        <v>2042</v>
      </c>
      <c r="D11" s="5">
        <v>1</v>
      </c>
      <c r="E11" s="42">
        <v>663</v>
      </c>
      <c r="F11" s="5">
        <v>1</v>
      </c>
      <c r="G11" s="42">
        <v>1451</v>
      </c>
      <c r="H11" s="5">
        <v>1</v>
      </c>
      <c r="I11" s="42">
        <v>257</v>
      </c>
      <c r="J11" s="5">
        <v>0</v>
      </c>
      <c r="K11" s="42">
        <v>1016</v>
      </c>
      <c r="L11" s="5">
        <v>1</v>
      </c>
      <c r="M11" s="42">
        <v>2035</v>
      </c>
      <c r="N11" s="5">
        <v>1</v>
      </c>
      <c r="O11" s="44" t="s">
        <v>41</v>
      </c>
    </row>
    <row r="12" spans="1:15" ht="15" x14ac:dyDescent="0.2">
      <c r="A12" s="17" t="s">
        <v>7</v>
      </c>
      <c r="B12" s="25">
        <v>8</v>
      </c>
      <c r="C12" s="40">
        <v>3670</v>
      </c>
      <c r="D12" s="7">
        <v>2</v>
      </c>
      <c r="E12" s="40">
        <v>0</v>
      </c>
      <c r="F12" s="7">
        <v>0</v>
      </c>
      <c r="G12" s="40">
        <v>4686</v>
      </c>
      <c r="H12" s="7">
        <v>3</v>
      </c>
      <c r="I12" s="40">
        <v>517</v>
      </c>
      <c r="J12" s="7">
        <v>0</v>
      </c>
      <c r="K12" s="40">
        <v>1673</v>
      </c>
      <c r="L12" s="7">
        <v>1</v>
      </c>
      <c r="M12" s="40">
        <v>4306</v>
      </c>
      <c r="N12" s="7">
        <v>2</v>
      </c>
      <c r="O12" s="45" t="s">
        <v>42</v>
      </c>
    </row>
    <row r="13" spans="1:15" ht="15" x14ac:dyDescent="0.2">
      <c r="A13" s="18" t="s">
        <v>8</v>
      </c>
      <c r="B13" s="26">
        <v>3</v>
      </c>
      <c r="C13" s="41">
        <v>704</v>
      </c>
      <c r="D13" s="9">
        <v>1</v>
      </c>
      <c r="E13" s="41">
        <v>0</v>
      </c>
      <c r="F13" s="9">
        <v>0</v>
      </c>
      <c r="G13" s="41">
        <v>484</v>
      </c>
      <c r="H13" s="9">
        <v>1</v>
      </c>
      <c r="I13" s="41">
        <v>0</v>
      </c>
      <c r="J13" s="9">
        <v>0</v>
      </c>
      <c r="K13" s="41">
        <v>338</v>
      </c>
      <c r="L13" s="9">
        <v>0</v>
      </c>
      <c r="M13" s="41">
        <v>886</v>
      </c>
      <c r="N13" s="9">
        <v>1</v>
      </c>
      <c r="O13" s="46" t="s">
        <v>43</v>
      </c>
    </row>
    <row r="14" spans="1:15" ht="15" x14ac:dyDescent="0.2">
      <c r="A14" s="17" t="s">
        <v>9</v>
      </c>
      <c r="B14" s="25">
        <v>2</v>
      </c>
      <c r="C14" s="40">
        <v>360</v>
      </c>
      <c r="D14" s="7">
        <v>1</v>
      </c>
      <c r="E14" s="40">
        <v>0</v>
      </c>
      <c r="F14" s="7">
        <v>0</v>
      </c>
      <c r="G14" s="40">
        <v>369</v>
      </c>
      <c r="H14" s="7">
        <v>1</v>
      </c>
      <c r="I14" s="40">
        <v>0</v>
      </c>
      <c r="J14" s="7">
        <v>0</v>
      </c>
      <c r="K14" s="40">
        <v>0</v>
      </c>
      <c r="L14" s="7">
        <v>0</v>
      </c>
      <c r="M14" s="40">
        <v>220</v>
      </c>
      <c r="N14" s="7">
        <v>0</v>
      </c>
      <c r="O14" s="45" t="s">
        <v>44</v>
      </c>
    </row>
    <row r="15" spans="1:15" ht="15" x14ac:dyDescent="0.2">
      <c r="A15" s="18" t="s">
        <v>10</v>
      </c>
      <c r="B15" s="26">
        <v>6</v>
      </c>
      <c r="C15" s="41">
        <v>2337</v>
      </c>
      <c r="D15" s="9">
        <v>1</v>
      </c>
      <c r="E15" s="41">
        <v>0</v>
      </c>
      <c r="F15" s="9">
        <v>0</v>
      </c>
      <c r="G15" s="41">
        <v>3818</v>
      </c>
      <c r="H15" s="9">
        <v>2</v>
      </c>
      <c r="I15" s="41">
        <v>0</v>
      </c>
      <c r="J15" s="9">
        <v>0</v>
      </c>
      <c r="K15" s="41">
        <v>1444</v>
      </c>
      <c r="L15" s="9">
        <v>1</v>
      </c>
      <c r="M15" s="41">
        <v>2363</v>
      </c>
      <c r="N15" s="9">
        <v>2</v>
      </c>
      <c r="O15" s="46" t="s">
        <v>45</v>
      </c>
    </row>
    <row r="16" spans="1:15" ht="15" x14ac:dyDescent="0.2">
      <c r="A16" s="17" t="s">
        <v>11</v>
      </c>
      <c r="B16" s="25">
        <v>3</v>
      </c>
      <c r="C16" s="40">
        <v>748</v>
      </c>
      <c r="D16" s="7">
        <v>1</v>
      </c>
      <c r="E16" s="40">
        <v>0</v>
      </c>
      <c r="F16" s="7">
        <v>0</v>
      </c>
      <c r="G16" s="40">
        <v>1015</v>
      </c>
      <c r="H16" s="7">
        <v>1</v>
      </c>
      <c r="I16" s="40">
        <v>0</v>
      </c>
      <c r="J16" s="7">
        <v>0</v>
      </c>
      <c r="K16" s="40">
        <v>423</v>
      </c>
      <c r="L16" s="7">
        <v>1</v>
      </c>
      <c r="M16" s="40">
        <v>287</v>
      </c>
      <c r="N16" s="7">
        <v>0</v>
      </c>
      <c r="O16" s="45" t="s">
        <v>46</v>
      </c>
    </row>
    <row r="17" spans="1:15" ht="15" x14ac:dyDescent="0.2">
      <c r="A17" s="18" t="s">
        <v>12</v>
      </c>
      <c r="B17" s="26">
        <v>8</v>
      </c>
      <c r="C17" s="41">
        <v>3943</v>
      </c>
      <c r="D17" s="9">
        <v>2</v>
      </c>
      <c r="E17" s="41">
        <v>0</v>
      </c>
      <c r="F17" s="9">
        <v>0</v>
      </c>
      <c r="G17" s="41">
        <v>2258</v>
      </c>
      <c r="H17" s="9">
        <v>1</v>
      </c>
      <c r="I17" s="41">
        <v>636</v>
      </c>
      <c r="J17" s="9">
        <v>1</v>
      </c>
      <c r="K17" s="41">
        <v>1467</v>
      </c>
      <c r="L17" s="9">
        <v>1</v>
      </c>
      <c r="M17" s="41">
        <v>6292</v>
      </c>
      <c r="N17" s="9">
        <v>3</v>
      </c>
      <c r="O17" s="46" t="s">
        <v>50</v>
      </c>
    </row>
    <row r="18" spans="1:15" ht="15" x14ac:dyDescent="0.2">
      <c r="A18" s="17" t="s">
        <v>13</v>
      </c>
      <c r="B18" s="25">
        <v>4</v>
      </c>
      <c r="C18" s="40">
        <v>1493</v>
      </c>
      <c r="D18" s="7">
        <v>1</v>
      </c>
      <c r="E18" s="40">
        <v>0</v>
      </c>
      <c r="F18" s="7">
        <v>0</v>
      </c>
      <c r="G18" s="40">
        <v>2086</v>
      </c>
      <c r="H18" s="7">
        <v>2</v>
      </c>
      <c r="I18" s="40">
        <v>451</v>
      </c>
      <c r="J18" s="7">
        <v>0</v>
      </c>
      <c r="K18" s="40">
        <v>524</v>
      </c>
      <c r="L18" s="7">
        <v>0</v>
      </c>
      <c r="M18" s="40">
        <v>974</v>
      </c>
      <c r="N18" s="7">
        <v>1</v>
      </c>
      <c r="O18" s="45" t="s">
        <v>47</v>
      </c>
    </row>
    <row r="19" spans="1:15" ht="15" x14ac:dyDescent="0.2">
      <c r="A19" s="18" t="s">
        <v>14</v>
      </c>
      <c r="B19" s="26">
        <v>12</v>
      </c>
      <c r="C19" s="41">
        <v>7913</v>
      </c>
      <c r="D19" s="9">
        <v>3</v>
      </c>
      <c r="E19" s="41">
        <v>0</v>
      </c>
      <c r="F19" s="9">
        <v>0</v>
      </c>
      <c r="G19" s="41">
        <v>7097</v>
      </c>
      <c r="H19" s="9">
        <v>2</v>
      </c>
      <c r="I19" s="41">
        <v>4727</v>
      </c>
      <c r="J19" s="9">
        <v>2</v>
      </c>
      <c r="K19" s="41">
        <v>7945</v>
      </c>
      <c r="L19" s="9">
        <v>2</v>
      </c>
      <c r="M19" s="41">
        <v>9004</v>
      </c>
      <c r="N19" s="9">
        <v>3</v>
      </c>
      <c r="O19" s="46" t="s">
        <v>48</v>
      </c>
    </row>
    <row r="20" spans="1:15" ht="15" x14ac:dyDescent="0.2">
      <c r="A20" s="17" t="s">
        <v>15</v>
      </c>
      <c r="B20" s="25">
        <v>6</v>
      </c>
      <c r="C20" s="40">
        <v>2172</v>
      </c>
      <c r="D20" s="7">
        <v>1</v>
      </c>
      <c r="E20" s="40">
        <v>0</v>
      </c>
      <c r="F20" s="7">
        <v>0</v>
      </c>
      <c r="G20" s="40">
        <v>1813</v>
      </c>
      <c r="H20" s="7">
        <v>1</v>
      </c>
      <c r="I20" s="40">
        <v>0</v>
      </c>
      <c r="J20" s="7">
        <v>0</v>
      </c>
      <c r="K20" s="40">
        <v>1335</v>
      </c>
      <c r="L20" s="7">
        <v>1</v>
      </c>
      <c r="M20" s="40">
        <v>3232</v>
      </c>
      <c r="N20" s="7">
        <v>3</v>
      </c>
      <c r="O20" s="45" t="s">
        <v>49</v>
      </c>
    </row>
    <row r="21" spans="1:15" ht="15" x14ac:dyDescent="0.2">
      <c r="A21" s="18" t="s">
        <v>16</v>
      </c>
      <c r="B21" s="26">
        <v>3</v>
      </c>
      <c r="C21" s="41">
        <v>789</v>
      </c>
      <c r="D21" s="9">
        <v>1</v>
      </c>
      <c r="E21" s="41">
        <v>0</v>
      </c>
      <c r="F21" s="9">
        <v>0</v>
      </c>
      <c r="G21" s="41">
        <v>925</v>
      </c>
      <c r="H21" s="9">
        <v>1</v>
      </c>
      <c r="I21" s="41">
        <v>0</v>
      </c>
      <c r="J21" s="9">
        <v>0</v>
      </c>
      <c r="K21" s="41">
        <v>0</v>
      </c>
      <c r="L21" s="9">
        <v>0</v>
      </c>
      <c r="M21" s="41">
        <v>724</v>
      </c>
      <c r="N21" s="9">
        <v>1</v>
      </c>
      <c r="O21" s="46" t="s">
        <v>51</v>
      </c>
    </row>
    <row r="22" spans="1:15" ht="15.75" thickBot="1" x14ac:dyDescent="0.25">
      <c r="A22" s="19"/>
      <c r="B22" s="27"/>
      <c r="C22" s="43"/>
      <c r="D22" s="11"/>
      <c r="E22" s="43"/>
      <c r="F22" s="11"/>
      <c r="G22" s="43"/>
      <c r="H22" s="11"/>
      <c r="I22" s="43"/>
      <c r="J22" s="9"/>
      <c r="K22" s="43"/>
      <c r="L22" s="11"/>
      <c r="M22" s="43"/>
      <c r="N22" s="11"/>
      <c r="O22" s="36"/>
    </row>
    <row r="23" spans="1:15" ht="15.75" x14ac:dyDescent="0.25">
      <c r="A23" s="48" t="s">
        <v>17</v>
      </c>
      <c r="B23" s="49">
        <f t="shared" ref="B23:L23" si="0">SUM(B11:B22)</f>
        <v>60</v>
      </c>
      <c r="C23" s="50">
        <f t="shared" si="0"/>
        <v>26171</v>
      </c>
      <c r="D23" s="51">
        <f t="shared" si="0"/>
        <v>15</v>
      </c>
      <c r="E23" s="50">
        <f t="shared" si="0"/>
        <v>663</v>
      </c>
      <c r="F23" s="51">
        <f t="shared" si="0"/>
        <v>1</v>
      </c>
      <c r="G23" s="50">
        <f t="shared" si="0"/>
        <v>26002</v>
      </c>
      <c r="H23" s="51">
        <f t="shared" si="0"/>
        <v>16</v>
      </c>
      <c r="I23" s="50">
        <f t="shared" si="0"/>
        <v>6588</v>
      </c>
      <c r="J23" s="52">
        <f t="shared" si="0"/>
        <v>3</v>
      </c>
      <c r="K23" s="50">
        <f t="shared" si="0"/>
        <v>16165</v>
      </c>
      <c r="L23" s="51">
        <f t="shared" si="0"/>
        <v>8</v>
      </c>
      <c r="M23" s="50">
        <f t="shared" ref="M23:N23" si="1">SUM(M11:M22)</f>
        <v>30323</v>
      </c>
      <c r="N23" s="51">
        <f t="shared" si="1"/>
        <v>17</v>
      </c>
      <c r="O23" s="37"/>
    </row>
    <row r="24" spans="1:15" x14ac:dyDescent="0.2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</row>
    <row r="25" spans="1:15" ht="15.75" x14ac:dyDescent="0.25">
      <c r="A25" s="63" t="s">
        <v>31</v>
      </c>
      <c r="B25" s="64"/>
      <c r="C25" s="92" t="s">
        <v>52</v>
      </c>
      <c r="D25" s="93"/>
      <c r="E25" s="96" t="s">
        <v>53</v>
      </c>
      <c r="F25" s="96"/>
      <c r="G25" s="93" t="s">
        <v>54</v>
      </c>
      <c r="H25" s="93"/>
      <c r="I25" s="93" t="s">
        <v>57</v>
      </c>
      <c r="J25" s="93"/>
      <c r="K25" s="93" t="s">
        <v>55</v>
      </c>
      <c r="L25" s="93"/>
      <c r="M25" s="93" t="s">
        <v>56</v>
      </c>
      <c r="N25" s="93"/>
    </row>
    <row r="26" spans="1:15" x14ac:dyDescent="0.2">
      <c r="A26" s="61"/>
      <c r="B26" s="62"/>
      <c r="C26" s="94"/>
      <c r="D26" s="95"/>
      <c r="E26" s="97"/>
      <c r="F26" s="97"/>
      <c r="G26" s="95"/>
      <c r="H26" s="95"/>
      <c r="I26" s="95"/>
      <c r="J26" s="95"/>
      <c r="K26" s="95"/>
      <c r="L26" s="95"/>
      <c r="M26" s="95"/>
      <c r="N26" s="95"/>
    </row>
    <row r="27" spans="1:15" x14ac:dyDescent="0.2">
      <c r="C27" s="47"/>
      <c r="D27" s="47"/>
      <c r="E27" s="47"/>
      <c r="F27" s="47"/>
      <c r="K27" s="47"/>
      <c r="L27" s="47"/>
      <c r="M27" s="47"/>
      <c r="N27" s="47"/>
    </row>
    <row r="28" spans="1:15" x14ac:dyDescent="0.2">
      <c r="C28" s="47"/>
      <c r="D28" s="47"/>
      <c r="E28" s="47"/>
      <c r="F28" s="47"/>
      <c r="K28" s="47"/>
      <c r="L28" s="47"/>
      <c r="M28" s="47"/>
      <c r="N28" s="47"/>
    </row>
    <row r="29" spans="1:15" x14ac:dyDescent="0.2">
      <c r="C29" s="47"/>
      <c r="D29" s="47"/>
      <c r="E29" s="47"/>
      <c r="F29" s="47"/>
      <c r="K29" s="47"/>
      <c r="L29" s="47"/>
      <c r="M29" s="47"/>
      <c r="N29" s="47"/>
    </row>
  </sheetData>
  <mergeCells count="13">
    <mergeCell ref="M8:N8"/>
    <mergeCell ref="K8:L8"/>
    <mergeCell ref="C25:D26"/>
    <mergeCell ref="E25:F26"/>
    <mergeCell ref="G25:H26"/>
    <mergeCell ref="I25:J26"/>
    <mergeCell ref="K25:L26"/>
    <mergeCell ref="M25:N26"/>
    <mergeCell ref="A5:I6"/>
    <mergeCell ref="C8:D8"/>
    <mergeCell ref="E8:F8"/>
    <mergeCell ref="G8:H8"/>
    <mergeCell ref="I8:J8"/>
  </mergeCells>
  <pageMargins left="0.7" right="0.7" top="0.78740157499999996" bottom="0.78740157499999996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Basiszahlen</vt:lpstr>
      <vt:lpstr>Tabelle1</vt:lpstr>
      <vt:lpstr>Oberzuteilung</vt:lpstr>
      <vt:lpstr>Unterzuteilung</vt:lpstr>
    </vt:vector>
  </TitlesOfParts>
  <Company>Kantone Obwalden / Nidwalden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InformatikLeistungsZentrum</dc:creator>
  <cp:lastModifiedBy>von Rotz Erich</cp:lastModifiedBy>
  <cp:lastPrinted>2018-03-05T11:04:42Z</cp:lastPrinted>
  <dcterms:created xsi:type="dcterms:W3CDTF">2014-03-17T14:04:45Z</dcterms:created>
  <dcterms:modified xsi:type="dcterms:W3CDTF">2018-03-05T11:05:24Z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
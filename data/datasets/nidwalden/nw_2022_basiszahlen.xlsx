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Axioma\CMIAXIOMA\e6fe6f2cdd0647bbbf6e353dab6fbbde\"/>
    </mc:Choice>
  </mc:AlternateContent>
  <bookViews>
    <workbookView xWindow="120" yWindow="1290" windowWidth="18810" windowHeight="10440"/>
  </bookViews>
  <sheets>
    <sheet name="Basiszahlen" sheetId="1" r:id="rId1"/>
    <sheet name="Oberzuteilung" sheetId="2" r:id="rId2"/>
    <sheet name="Unterzuteilung" sheetId="3" r:id="rId3"/>
  </sheets>
  <calcPr calcId="162913"/>
</workbook>
</file>

<file path=xl/calcChain.xml><?xml version="1.0" encoding="utf-8"?>
<calcChain xmlns="http://schemas.openxmlformats.org/spreadsheetml/2006/main">
  <c r="R24" i="1" l="1"/>
  <c r="Q24" i="1"/>
  <c r="N23" i="3"/>
  <c r="M23" i="3"/>
  <c r="L23" i="3"/>
  <c r="K23" i="3"/>
  <c r="I23" i="3" l="1"/>
  <c r="J23" i="3"/>
  <c r="P24" i="1"/>
  <c r="O24" i="1"/>
  <c r="N24" i="1"/>
  <c r="M24" i="1"/>
  <c r="H23" i="3"/>
  <c r="G23" i="3"/>
  <c r="F23" i="3"/>
  <c r="E23" i="3"/>
  <c r="D23" i="3"/>
  <c r="C23" i="3"/>
  <c r="B23" i="3"/>
  <c r="L24" i="1"/>
  <c r="K24" i="1"/>
  <c r="J24" i="1"/>
  <c r="I24" i="1"/>
  <c r="H24" i="1"/>
  <c r="G24" i="1"/>
  <c r="F24" i="1"/>
  <c r="E24" i="1"/>
  <c r="B24" i="1"/>
  <c r="C24" i="1"/>
  <c r="D24" i="1"/>
</calcChain>
</file>

<file path=xl/sharedStrings.xml><?xml version="1.0" encoding="utf-8"?>
<sst xmlns="http://schemas.openxmlformats.org/spreadsheetml/2006/main" count="113" uniqueCount="61">
  <si>
    <t>Gemeinde</t>
  </si>
  <si>
    <t>Stimmen</t>
  </si>
  <si>
    <t>Sitze</t>
  </si>
  <si>
    <t>FDP</t>
  </si>
  <si>
    <t>SVP</t>
  </si>
  <si>
    <t>Beckenried</t>
  </si>
  <si>
    <t>Buochs</t>
  </si>
  <si>
    <t>Dallenwil</t>
  </si>
  <si>
    <t>Emmetten</t>
  </si>
  <si>
    <t>Ennetbürgen</t>
  </si>
  <si>
    <t>Ennetmoos</t>
  </si>
  <si>
    <t>Hergiswil</t>
  </si>
  <si>
    <t>Oberdorf</t>
  </si>
  <si>
    <t>Stans</t>
  </si>
  <si>
    <t>Stansstad</t>
  </si>
  <si>
    <t>Wolfenschiessen</t>
  </si>
  <si>
    <t>Total</t>
  </si>
  <si>
    <t>Die Basiszahlen weisen die Anzahl erzielter Stimmen und die Wählerzahl der einzelnen Listen für den Kanton und die einzelnen Gemeinden aus.</t>
  </si>
  <si>
    <t>Wählerzahl</t>
  </si>
  <si>
    <t>1. Basiszahlen</t>
  </si>
  <si>
    <t>2. Oberzuteilung</t>
  </si>
  <si>
    <t>Liste</t>
  </si>
  <si>
    <t>Quotient</t>
  </si>
  <si>
    <t>Wahlschlüssel</t>
  </si>
  <si>
    <t>Sitze Gesamt</t>
  </si>
  <si>
    <t>Sitzanspruch</t>
  </si>
  <si>
    <t>Mit der Oberzuteilung wird der Sitzanspruch der einzelnen Listen im ganzen Kanton festgelegt.</t>
  </si>
  <si>
    <t>3. abschliessende Unterzuteilung</t>
  </si>
  <si>
    <t>Wahlkreis-</t>
  </si>
  <si>
    <t>divisor</t>
  </si>
  <si>
    <t>Parteidivisor</t>
  </si>
  <si>
    <t>Mit der Unterzuteilung wird die Zahl der Sitze je Liste in den einzelnen Gemeinden festgelegt. Die Parteistimmenzahl einer Liste wird durch den Wahlkreis-Divisor und den Listengruppen-Divisor geteilt.</t>
  </si>
  <si>
    <t>WZ</t>
  </si>
  <si>
    <t>Grüne</t>
  </si>
  <si>
    <t>WZ = Wählerzahl</t>
  </si>
  <si>
    <t>Wahlergebnis der Landratswahlen vom 13. März 2022</t>
  </si>
  <si>
    <t>Grüne Nidwalden</t>
  </si>
  <si>
    <t>SP / JUSO</t>
  </si>
  <si>
    <t>FDP.Die Liberalen</t>
  </si>
  <si>
    <t>PIERRE NEMITZ
unabhängiges Politisieren</t>
  </si>
  <si>
    <t>Grünliberale Partei</t>
  </si>
  <si>
    <t>Die Mitte</t>
  </si>
  <si>
    <t>Aufrecht</t>
  </si>
  <si>
    <t>PIERRE NEMITZ</t>
  </si>
  <si>
    <t>GLP</t>
  </si>
  <si>
    <t>0.7500</t>
  </si>
  <si>
    <t>1.1074</t>
  </si>
  <si>
    <t>0.5000</t>
  </si>
  <si>
    <t>0.2500</t>
  </si>
  <si>
    <t>1.1133</t>
  </si>
  <si>
    <t>0.3594</t>
  </si>
  <si>
    <t>1.0313</t>
  </si>
  <si>
    <t>0.7031</t>
  </si>
  <si>
    <t>1.9043</t>
  </si>
  <si>
    <t>0.9375</t>
  </si>
  <si>
    <t>1612.7314</t>
  </si>
  <si>
    <t>1743.1117</t>
  </si>
  <si>
    <t>1438.3277</t>
  </si>
  <si>
    <t>762.9375</t>
  </si>
  <si>
    <t>1598.7750</t>
  </si>
  <si>
    <t>1690.3023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</si>
</sst>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#,##0;[Red]#,##0"/>
  </numFmts>
  <fonts count="1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6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92">
    <xf numFmtId="0" fontId="0" fillId="0" borderId="0" xfId="0"/>
    <xf numFmtId="0" fontId="4" fillId="0" borderId="0" xfId="0" applyFont="1"/>
    <xf numFmtId="0" fontId="6" fillId="0" borderId="0" xfId="0" applyFont="1"/>
    <xf numFmtId="0" fontId="5" fillId="0" borderId="0" xfId="0" applyFont="1"/>
    <xf numFmtId="0" fontId="3" fillId="0" borderId="3" xfId="0" applyFont="1" applyBorder="1"/>
    <xf numFmtId="0" fontId="3" fillId="2" borderId="5" xfId="0" applyFont="1" applyFill="1" applyBorder="1"/>
    <xf numFmtId="0" fontId="3" fillId="0" borderId="5" xfId="0" applyFont="1" applyBorder="1"/>
    <xf numFmtId="0" fontId="3" fillId="0" borderId="7" xfId="0" applyFont="1" applyBorder="1"/>
    <xf numFmtId="0" fontId="1" fillId="3" borderId="12" xfId="0" applyFont="1" applyFill="1" applyBorder="1" applyAlignment="1">
      <alignment horizontal="center"/>
    </xf>
    <xf numFmtId="0" fontId="1" fillId="3" borderId="13" xfId="0" applyFont="1" applyFill="1" applyBorder="1"/>
    <xf numFmtId="0" fontId="3" fillId="0" borderId="14" xfId="0" applyFont="1" applyBorder="1"/>
    <xf numFmtId="0" fontId="3" fillId="2" borderId="15" xfId="0" applyFont="1" applyFill="1" applyBorder="1"/>
    <xf numFmtId="0" fontId="3" fillId="0" borderId="15" xfId="0" applyFont="1" applyBorder="1"/>
    <xf numFmtId="0" fontId="3" fillId="0" borderId="16" xfId="0" applyFont="1" applyBorder="1"/>
    <xf numFmtId="0" fontId="2" fillId="3" borderId="17" xfId="0" applyFont="1" applyFill="1" applyBorder="1"/>
    <xf numFmtId="0" fontId="0" fillId="3" borderId="18" xfId="0" applyFill="1" applyBorder="1"/>
    <xf numFmtId="0" fontId="2" fillId="3" borderId="11" xfId="0" applyFont="1" applyFill="1" applyBorder="1"/>
    <xf numFmtId="0" fontId="0" fillId="3" borderId="19" xfId="0" applyFill="1" applyBorder="1"/>
    <xf numFmtId="0" fontId="3" fillId="0" borderId="22" xfId="0" applyFont="1" applyBorder="1"/>
    <xf numFmtId="0" fontId="0" fillId="0" borderId="24" xfId="0" applyBorder="1"/>
    <xf numFmtId="0" fontId="3" fillId="0" borderId="0" xfId="0" applyFont="1"/>
    <xf numFmtId="0" fontId="3" fillId="0" borderId="25" xfId="0" applyFont="1" applyBorder="1"/>
    <xf numFmtId="0" fontId="3" fillId="2" borderId="25" xfId="0" applyFont="1" applyFill="1" applyBorder="1"/>
    <xf numFmtId="0" fontId="5" fillId="2" borderId="25" xfId="0" applyFont="1" applyFill="1" applyBorder="1"/>
    <xf numFmtId="0" fontId="3" fillId="0" borderId="0" xfId="0" applyFont="1" applyBorder="1"/>
    <xf numFmtId="0" fontId="5" fillId="4" borderId="26" xfId="0" applyFont="1" applyFill="1" applyBorder="1"/>
    <xf numFmtId="164" fontId="3" fillId="0" borderId="25" xfId="1" applyNumberFormat="1" applyFont="1" applyBorder="1"/>
    <xf numFmtId="164" fontId="3" fillId="2" borderId="25" xfId="1" applyNumberFormat="1" applyFont="1" applyFill="1" applyBorder="1"/>
    <xf numFmtId="3" fontId="3" fillId="2" borderId="4" xfId="0" applyNumberFormat="1" applyFont="1" applyFill="1" applyBorder="1"/>
    <xf numFmtId="3" fontId="3" fillId="0" borderId="4" xfId="0" applyNumberFormat="1" applyFont="1" applyBorder="1"/>
    <xf numFmtId="3" fontId="3" fillId="0" borderId="2" xfId="0" applyNumberFormat="1" applyFont="1" applyBorder="1"/>
    <xf numFmtId="3" fontId="3" fillId="0" borderId="6" xfId="0" applyNumberFormat="1" applyFont="1" applyBorder="1"/>
    <xf numFmtId="49" fontId="0" fillId="0" borderId="0" xfId="0" applyNumberFormat="1"/>
    <xf numFmtId="0" fontId="5" fillId="2" borderId="17" xfId="0" applyFont="1" applyFill="1" applyBorder="1"/>
    <xf numFmtId="0" fontId="5" fillId="2" borderId="27" xfId="0" applyFont="1" applyFill="1" applyBorder="1"/>
    <xf numFmtId="3" fontId="5" fillId="2" borderId="28" xfId="0" applyNumberFormat="1" applyFont="1" applyFill="1" applyBorder="1"/>
    <xf numFmtId="0" fontId="5" fillId="2" borderId="29" xfId="0" applyFont="1" applyFill="1" applyBorder="1"/>
    <xf numFmtId="0" fontId="5" fillId="2" borderId="10" xfId="0" applyFont="1" applyFill="1" applyBorder="1"/>
    <xf numFmtId="0" fontId="0" fillId="0" borderId="25" xfId="0" applyBorder="1"/>
    <xf numFmtId="0" fontId="7" fillId="3" borderId="0" xfId="0" applyFont="1" applyFill="1"/>
    <xf numFmtId="0" fontId="10" fillId="3" borderId="0" xfId="0" applyFont="1" applyFill="1"/>
    <xf numFmtId="0" fontId="10" fillId="0" borderId="0" xfId="0" applyFont="1"/>
    <xf numFmtId="0" fontId="1" fillId="3" borderId="13" xfId="0" applyFont="1" applyFill="1" applyBorder="1" applyAlignment="1">
      <alignment horizontal="center"/>
    </xf>
    <xf numFmtId="2" fontId="3" fillId="0" borderId="25" xfId="0" applyNumberFormat="1" applyFont="1" applyBorder="1"/>
    <xf numFmtId="2" fontId="3" fillId="2" borderId="25" xfId="0" applyNumberFormat="1" applyFont="1" applyFill="1" applyBorder="1"/>
    <xf numFmtId="0" fontId="0" fillId="0" borderId="33" xfId="0" applyBorder="1"/>
    <xf numFmtId="0" fontId="0" fillId="0" borderId="34" xfId="0" applyBorder="1"/>
    <xf numFmtId="0" fontId="5" fillId="0" borderId="30" xfId="0" applyFont="1" applyBorder="1"/>
    <xf numFmtId="0" fontId="0" fillId="0" borderId="31" xfId="0" applyBorder="1"/>
    <xf numFmtId="0" fontId="0" fillId="0" borderId="15" xfId="0" applyFont="1" applyBorder="1"/>
    <xf numFmtId="0" fontId="0" fillId="0" borderId="14" xfId="0" applyFont="1" applyBorder="1"/>
    <xf numFmtId="0" fontId="0" fillId="0" borderId="20" xfId="0" applyFont="1" applyBorder="1"/>
    <xf numFmtId="3" fontId="0" fillId="0" borderId="2" xfId="0" applyNumberFormat="1" applyFont="1" applyBorder="1"/>
    <xf numFmtId="0" fontId="0" fillId="2" borderId="15" xfId="0" applyFont="1" applyFill="1" applyBorder="1"/>
    <xf numFmtId="0" fontId="0" fillId="2" borderId="21" xfId="0" applyFont="1" applyFill="1" applyBorder="1"/>
    <xf numFmtId="3" fontId="0" fillId="2" borderId="4" xfId="0" applyNumberFormat="1" applyFont="1" applyFill="1" applyBorder="1"/>
    <xf numFmtId="0" fontId="0" fillId="0" borderId="21" xfId="0" applyFont="1" applyBorder="1"/>
    <xf numFmtId="3" fontId="0" fillId="0" borderId="4" xfId="0" applyNumberFormat="1" applyFont="1" applyBorder="1"/>
    <xf numFmtId="0" fontId="0" fillId="0" borderId="16" xfId="0" applyFont="1" applyBorder="1"/>
    <xf numFmtId="0" fontId="1" fillId="2" borderId="1" xfId="0" applyFont="1" applyFill="1" applyBorder="1"/>
    <xf numFmtId="0" fontId="1" fillId="3" borderId="19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wrapText="1"/>
    </xf>
    <xf numFmtId="0" fontId="3" fillId="0" borderId="0" xfId="0" applyFont="1" applyFill="1"/>
    <xf numFmtId="49" fontId="9" fillId="0" borderId="14" xfId="0" applyNumberFormat="1" applyFont="1" applyBorder="1" applyAlignment="1">
      <alignment horizontal="center"/>
    </xf>
    <xf numFmtId="49" fontId="9" fillId="2" borderId="15" xfId="0" applyNumberFormat="1" applyFont="1" applyFill="1" applyBorder="1" applyAlignment="1">
      <alignment horizontal="center"/>
    </xf>
    <xf numFmtId="49" fontId="9" fillId="0" borderId="15" xfId="0" applyNumberFormat="1" applyFont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0" fontId="2" fillId="3" borderId="18" xfId="0" applyFont="1" applyFill="1" applyBorder="1" applyAlignment="1">
      <alignment horizontal="center"/>
    </xf>
    <xf numFmtId="0" fontId="11" fillId="3" borderId="18" xfId="0" applyFont="1" applyFill="1" applyBorder="1" applyAlignment="1">
      <alignment horizontal="center"/>
    </xf>
    <xf numFmtId="0" fontId="11" fillId="3" borderId="12" xfId="0" applyFont="1" applyFill="1" applyBorder="1" applyAlignment="1">
      <alignment horizontal="center"/>
    </xf>
    <xf numFmtId="3" fontId="1" fillId="2" borderId="8" xfId="0" applyNumberFormat="1" applyFont="1" applyFill="1" applyBorder="1"/>
    <xf numFmtId="3" fontId="1" fillId="2" borderId="9" xfId="0" applyNumberFormat="1" applyFont="1" applyFill="1" applyBorder="1"/>
    <xf numFmtId="3" fontId="0" fillId="0" borderId="20" xfId="0" applyNumberFormat="1" applyFont="1" applyBorder="1"/>
    <xf numFmtId="3" fontId="0" fillId="0" borderId="3" xfId="0" applyNumberFormat="1" applyFont="1" applyBorder="1"/>
    <xf numFmtId="3" fontId="0" fillId="2" borderId="21" xfId="0" applyNumberFormat="1" applyFont="1" applyFill="1" applyBorder="1"/>
    <xf numFmtId="3" fontId="0" fillId="2" borderId="5" xfId="0" applyNumberFormat="1" applyFont="1" applyFill="1" applyBorder="1"/>
    <xf numFmtId="3" fontId="0" fillId="0" borderId="21" xfId="0" applyNumberFormat="1" applyFont="1" applyBorder="1"/>
    <xf numFmtId="3" fontId="0" fillId="0" borderId="5" xfId="0" applyNumberFormat="1" applyFont="1" applyBorder="1"/>
    <xf numFmtId="3" fontId="0" fillId="0" borderId="22" xfId="0" applyNumberFormat="1" applyFont="1" applyBorder="1"/>
    <xf numFmtId="3" fontId="0" fillId="0" borderId="6" xfId="0" applyNumberFormat="1" applyFont="1" applyBorder="1"/>
    <xf numFmtId="3" fontId="0" fillId="0" borderId="7" xfId="0" applyNumberFormat="1" applyFont="1" applyBorder="1"/>
    <xf numFmtId="3" fontId="1" fillId="2" borderId="23" xfId="0" applyNumberFormat="1" applyFont="1" applyFill="1" applyBorder="1"/>
    <xf numFmtId="0" fontId="2" fillId="3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12" fillId="3" borderId="10" xfId="0" applyFont="1" applyFill="1" applyBorder="1" applyAlignment="1">
      <alignment horizontal="center"/>
    </xf>
    <xf numFmtId="0" fontId="12" fillId="3" borderId="11" xfId="0" applyFont="1" applyFill="1" applyBorder="1" applyAlignment="1">
      <alignment horizontal="center"/>
    </xf>
    <xf numFmtId="49" fontId="4" fillId="0" borderId="0" xfId="0" applyNumberFormat="1" applyFont="1" applyAlignment="1">
      <alignment vertical="top" wrapText="1"/>
    </xf>
    <xf numFmtId="49" fontId="0" fillId="0" borderId="0" xfId="0" applyNumberFormat="1" applyAlignment="1">
      <alignment vertical="top" wrapText="1"/>
    </xf>
    <xf numFmtId="4" fontId="0" fillId="0" borderId="31" xfId="0" applyNumberFormat="1" applyBorder="1" applyAlignment="1">
      <alignment horizontal="right" wrapText="1"/>
    </xf>
    <xf numFmtId="4" fontId="0" fillId="0" borderId="32" xfId="0" applyNumberFormat="1" applyBorder="1" applyAlignment="1">
      <alignment horizontal="right" wrapText="1"/>
    </xf>
    <xf numFmtId="4" fontId="0" fillId="0" borderId="34" xfId="0" applyNumberFormat="1" applyBorder="1" applyAlignment="1">
      <alignment wrapText="1"/>
    </xf>
    <xf numFmtId="4" fontId="0" fillId="0" borderId="35" xfId="0" applyNumberFormat="1" applyBorder="1" applyAlignment="1">
      <alignment wrapText="1"/>
    </xf>
  </cellXfs>
  <cellStyles count="2">
    <cellStyle name="Komma" xfId="1" builtinId="3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24"/>
  <sheetViews>
    <sheetView tabSelected="1" view="pageLayout" topLeftCell="A7" zoomScaleNormal="85" workbookViewId="0">
      <selection activeCell="U22" sqref="U22"/>
    </sheetView>
  </sheetViews>
  <sheetFormatPr baseColWidth="10" defaultRowHeight="12.75" x14ac:dyDescent="0.2"/>
  <cols>
    <col min="1" max="1" width="15" customWidth="1"/>
    <col min="2" max="2" width="6" customWidth="1"/>
    <col min="3" max="3" width="8" customWidth="1"/>
    <col min="4" max="4" width="5.42578125" customWidth="1"/>
    <col min="5" max="5" width="7.42578125" customWidth="1"/>
    <col min="6" max="6" width="4.7109375" customWidth="1"/>
    <col min="7" max="7" width="7.7109375" customWidth="1"/>
    <col min="8" max="8" width="5.42578125" bestFit="1" customWidth="1"/>
    <col min="9" max="9" width="8.28515625" customWidth="1"/>
    <col min="10" max="10" width="6.42578125" customWidth="1"/>
    <col min="11" max="11" width="8.28515625" customWidth="1"/>
    <col min="12" max="12" width="5.42578125" customWidth="1"/>
    <col min="13" max="13" width="8" customWidth="1"/>
    <col min="14" max="14" width="6.42578125" customWidth="1"/>
    <col min="15" max="15" width="8" customWidth="1"/>
    <col min="16" max="16" width="6.28515625" customWidth="1"/>
    <col min="17" max="17" width="8" customWidth="1"/>
    <col min="18" max="18" width="6.28515625" customWidth="1"/>
  </cols>
  <sheetData>
    <row r="2" spans="1:18" s="41" customFormat="1" ht="20.25" x14ac:dyDescent="0.3">
      <c r="A2" s="39" t="s">
        <v>35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1:18" s="41" customFormat="1" ht="20.25" x14ac:dyDescent="0.3"/>
    <row r="4" spans="1:18" s="3" customFormat="1" ht="18" x14ac:dyDescent="0.25">
      <c r="A4" s="2" t="s">
        <v>19</v>
      </c>
    </row>
    <row r="6" spans="1:18" ht="14.25" x14ac:dyDescent="0.2">
      <c r="A6" s="1" t="s">
        <v>17</v>
      </c>
    </row>
    <row r="7" spans="1:18" ht="14.25" x14ac:dyDescent="0.2">
      <c r="A7" s="1" t="s">
        <v>34</v>
      </c>
    </row>
    <row r="8" spans="1:18" ht="13.5" thickBot="1" x14ac:dyDescent="0.25"/>
    <row r="9" spans="1:18" ht="15" x14ac:dyDescent="0.25">
      <c r="A9" s="14" t="s">
        <v>0</v>
      </c>
      <c r="B9" s="16" t="s">
        <v>2</v>
      </c>
      <c r="C9" s="82" t="s">
        <v>33</v>
      </c>
      <c r="D9" s="83"/>
      <c r="E9" s="84" t="s">
        <v>43</v>
      </c>
      <c r="F9" s="85"/>
      <c r="G9" s="82" t="s">
        <v>41</v>
      </c>
      <c r="H9" s="83"/>
      <c r="I9" s="82" t="s">
        <v>44</v>
      </c>
      <c r="J9" s="83"/>
      <c r="K9" s="82" t="s">
        <v>42</v>
      </c>
      <c r="L9" s="83"/>
      <c r="M9" s="82" t="s">
        <v>37</v>
      </c>
      <c r="N9" s="83"/>
      <c r="O9" s="82" t="s">
        <v>4</v>
      </c>
      <c r="P9" s="83"/>
      <c r="Q9" s="82" t="s">
        <v>3</v>
      </c>
      <c r="R9" s="83"/>
    </row>
    <row r="10" spans="1:18" ht="13.5" thickBot="1" x14ac:dyDescent="0.25">
      <c r="A10" s="15"/>
      <c r="B10" s="17"/>
      <c r="C10" s="68" t="s">
        <v>1</v>
      </c>
      <c r="D10" s="60" t="s">
        <v>32</v>
      </c>
      <c r="E10" s="69" t="s">
        <v>1</v>
      </c>
      <c r="F10" s="42" t="s">
        <v>32</v>
      </c>
      <c r="G10" s="69" t="s">
        <v>1</v>
      </c>
      <c r="H10" s="42" t="s">
        <v>32</v>
      </c>
      <c r="I10" s="69" t="s">
        <v>1</v>
      </c>
      <c r="J10" s="42" t="s">
        <v>32</v>
      </c>
      <c r="K10" s="69" t="s">
        <v>1</v>
      </c>
      <c r="L10" s="42" t="s">
        <v>32</v>
      </c>
      <c r="M10" s="69" t="s">
        <v>1</v>
      </c>
      <c r="N10" s="42" t="s">
        <v>32</v>
      </c>
      <c r="O10" s="69" t="s">
        <v>1</v>
      </c>
      <c r="P10" s="42" t="s">
        <v>32</v>
      </c>
      <c r="Q10" s="69" t="s">
        <v>1</v>
      </c>
      <c r="R10" s="42" t="s">
        <v>32</v>
      </c>
    </row>
    <row r="11" spans="1:18" ht="13.5" thickBot="1" x14ac:dyDescent="0.25">
      <c r="A11" s="19"/>
    </row>
    <row r="12" spans="1:18" ht="25.15" customHeight="1" x14ac:dyDescent="0.2">
      <c r="A12" s="50" t="s">
        <v>5</v>
      </c>
      <c r="B12" s="72">
        <v>5</v>
      </c>
      <c r="C12" s="52">
        <v>845</v>
      </c>
      <c r="D12" s="73">
        <v>169</v>
      </c>
      <c r="E12" s="52">
        <v>543</v>
      </c>
      <c r="F12" s="73">
        <v>109</v>
      </c>
      <c r="G12" s="52">
        <v>1116</v>
      </c>
      <c r="H12" s="73">
        <v>223</v>
      </c>
      <c r="I12" s="52">
        <v>421</v>
      </c>
      <c r="J12" s="73">
        <v>84</v>
      </c>
      <c r="K12" s="52">
        <v>0</v>
      </c>
      <c r="L12" s="73">
        <v>0</v>
      </c>
      <c r="M12" s="52">
        <v>132</v>
      </c>
      <c r="N12" s="73">
        <v>26</v>
      </c>
      <c r="O12" s="52">
        <v>1585</v>
      </c>
      <c r="P12" s="73">
        <v>317</v>
      </c>
      <c r="Q12" s="52">
        <v>2154</v>
      </c>
      <c r="R12" s="73">
        <v>431</v>
      </c>
    </row>
    <row r="13" spans="1:18" ht="25.15" customHeight="1" x14ac:dyDescent="0.2">
      <c r="A13" s="53" t="s">
        <v>6</v>
      </c>
      <c r="B13" s="74">
        <v>7</v>
      </c>
      <c r="C13" s="55">
        <v>893</v>
      </c>
      <c r="D13" s="75">
        <v>128</v>
      </c>
      <c r="E13" s="55">
        <v>0</v>
      </c>
      <c r="F13" s="75">
        <v>0</v>
      </c>
      <c r="G13" s="55">
        <v>3648</v>
      </c>
      <c r="H13" s="75">
        <v>521</v>
      </c>
      <c r="I13" s="55">
        <v>1384</v>
      </c>
      <c r="J13" s="75">
        <v>198</v>
      </c>
      <c r="K13" s="55">
        <v>0</v>
      </c>
      <c r="L13" s="75">
        <v>0</v>
      </c>
      <c r="M13" s="55">
        <v>277</v>
      </c>
      <c r="N13" s="75">
        <v>40</v>
      </c>
      <c r="O13" s="55">
        <v>2748</v>
      </c>
      <c r="P13" s="75">
        <v>393</v>
      </c>
      <c r="Q13" s="55">
        <v>2806</v>
      </c>
      <c r="R13" s="75">
        <v>401</v>
      </c>
    </row>
    <row r="14" spans="1:18" ht="25.15" customHeight="1" x14ac:dyDescent="0.2">
      <c r="A14" s="49" t="s">
        <v>7</v>
      </c>
      <c r="B14" s="76">
        <v>3</v>
      </c>
      <c r="C14" s="57">
        <v>172</v>
      </c>
      <c r="D14" s="77">
        <v>57</v>
      </c>
      <c r="E14" s="57">
        <v>0</v>
      </c>
      <c r="F14" s="77">
        <v>0</v>
      </c>
      <c r="G14" s="57">
        <v>632</v>
      </c>
      <c r="H14" s="77">
        <v>211</v>
      </c>
      <c r="I14" s="57">
        <v>101</v>
      </c>
      <c r="J14" s="77">
        <v>34</v>
      </c>
      <c r="K14" s="57">
        <v>67</v>
      </c>
      <c r="L14" s="77">
        <v>22</v>
      </c>
      <c r="M14" s="57">
        <v>0</v>
      </c>
      <c r="N14" s="77">
        <v>0</v>
      </c>
      <c r="O14" s="57">
        <v>647</v>
      </c>
      <c r="P14" s="77">
        <v>216</v>
      </c>
      <c r="Q14" s="57">
        <v>546</v>
      </c>
      <c r="R14" s="77">
        <v>182</v>
      </c>
    </row>
    <row r="15" spans="1:18" ht="25.15" customHeight="1" x14ac:dyDescent="0.2">
      <c r="A15" s="53" t="s">
        <v>8</v>
      </c>
      <c r="B15" s="74">
        <v>2</v>
      </c>
      <c r="C15" s="55">
        <v>56</v>
      </c>
      <c r="D15" s="75">
        <v>28</v>
      </c>
      <c r="E15" s="55">
        <v>0</v>
      </c>
      <c r="F15" s="75">
        <v>0</v>
      </c>
      <c r="G15" s="55">
        <v>218</v>
      </c>
      <c r="H15" s="75">
        <v>109</v>
      </c>
      <c r="I15" s="55">
        <v>143</v>
      </c>
      <c r="J15" s="75">
        <v>72</v>
      </c>
      <c r="K15" s="55">
        <v>0</v>
      </c>
      <c r="L15" s="75">
        <v>0</v>
      </c>
      <c r="M15" s="55">
        <v>0</v>
      </c>
      <c r="N15" s="75">
        <v>0</v>
      </c>
      <c r="O15" s="55">
        <v>269</v>
      </c>
      <c r="P15" s="75">
        <v>135</v>
      </c>
      <c r="Q15" s="55">
        <v>106</v>
      </c>
      <c r="R15" s="75">
        <v>53</v>
      </c>
    </row>
    <row r="16" spans="1:18" ht="25.15" customHeight="1" x14ac:dyDescent="0.2">
      <c r="A16" s="49" t="s">
        <v>9</v>
      </c>
      <c r="B16" s="76">
        <v>7</v>
      </c>
      <c r="C16" s="57">
        <v>1658</v>
      </c>
      <c r="D16" s="77">
        <v>237</v>
      </c>
      <c r="E16" s="57">
        <v>0</v>
      </c>
      <c r="F16" s="77">
        <v>0</v>
      </c>
      <c r="G16" s="57">
        <v>4007</v>
      </c>
      <c r="H16" s="77">
        <v>572</v>
      </c>
      <c r="I16" s="57">
        <v>823</v>
      </c>
      <c r="J16" s="77">
        <v>118</v>
      </c>
      <c r="K16" s="57">
        <v>0</v>
      </c>
      <c r="L16" s="77">
        <v>0</v>
      </c>
      <c r="M16" s="57">
        <v>169</v>
      </c>
      <c r="N16" s="77">
        <v>24</v>
      </c>
      <c r="O16" s="57">
        <v>2371</v>
      </c>
      <c r="P16" s="77">
        <v>339</v>
      </c>
      <c r="Q16" s="57">
        <v>2871</v>
      </c>
      <c r="R16" s="77">
        <v>410</v>
      </c>
    </row>
    <row r="17" spans="1:18" ht="25.15" customHeight="1" x14ac:dyDescent="0.2">
      <c r="A17" s="53" t="s">
        <v>10</v>
      </c>
      <c r="B17" s="74">
        <v>3</v>
      </c>
      <c r="C17" s="55">
        <v>297</v>
      </c>
      <c r="D17" s="75">
        <v>99</v>
      </c>
      <c r="E17" s="55">
        <v>0</v>
      </c>
      <c r="F17" s="75">
        <v>0</v>
      </c>
      <c r="G17" s="55">
        <v>714</v>
      </c>
      <c r="H17" s="75">
        <v>238</v>
      </c>
      <c r="I17" s="55">
        <v>138</v>
      </c>
      <c r="J17" s="75">
        <v>46</v>
      </c>
      <c r="K17" s="55">
        <v>0</v>
      </c>
      <c r="L17" s="75">
        <v>0</v>
      </c>
      <c r="M17" s="55">
        <v>0</v>
      </c>
      <c r="N17" s="75">
        <v>0</v>
      </c>
      <c r="O17" s="55">
        <v>782</v>
      </c>
      <c r="P17" s="75">
        <v>261</v>
      </c>
      <c r="Q17" s="55">
        <v>282</v>
      </c>
      <c r="R17" s="75">
        <v>94</v>
      </c>
    </row>
    <row r="18" spans="1:18" ht="25.15" customHeight="1" x14ac:dyDescent="0.2">
      <c r="A18" s="49" t="s">
        <v>11</v>
      </c>
      <c r="B18" s="76">
        <v>8</v>
      </c>
      <c r="C18" s="57">
        <v>831</v>
      </c>
      <c r="D18" s="77">
        <v>104</v>
      </c>
      <c r="E18" s="57">
        <v>0</v>
      </c>
      <c r="F18" s="77">
        <v>0</v>
      </c>
      <c r="G18" s="57">
        <v>2750</v>
      </c>
      <c r="H18" s="77">
        <v>344</v>
      </c>
      <c r="I18" s="57">
        <v>979</v>
      </c>
      <c r="J18" s="77">
        <v>122</v>
      </c>
      <c r="K18" s="57">
        <v>322</v>
      </c>
      <c r="L18" s="77">
        <v>40</v>
      </c>
      <c r="M18" s="57">
        <v>258</v>
      </c>
      <c r="N18" s="77">
        <v>32</v>
      </c>
      <c r="O18" s="57">
        <v>3057</v>
      </c>
      <c r="P18" s="77">
        <v>382</v>
      </c>
      <c r="Q18" s="57">
        <v>5261</v>
      </c>
      <c r="R18" s="77">
        <v>658</v>
      </c>
    </row>
    <row r="19" spans="1:18" ht="25.15" customHeight="1" x14ac:dyDescent="0.2">
      <c r="A19" s="53" t="s">
        <v>12</v>
      </c>
      <c r="B19" s="74">
        <v>4</v>
      </c>
      <c r="C19" s="55">
        <v>394</v>
      </c>
      <c r="D19" s="75">
        <v>99</v>
      </c>
      <c r="E19" s="55">
        <v>0</v>
      </c>
      <c r="F19" s="75">
        <v>0</v>
      </c>
      <c r="G19" s="55">
        <v>1954</v>
      </c>
      <c r="H19" s="75">
        <v>489</v>
      </c>
      <c r="I19" s="55">
        <v>476</v>
      </c>
      <c r="J19" s="75">
        <v>119</v>
      </c>
      <c r="K19" s="55">
        <v>0</v>
      </c>
      <c r="L19" s="75">
        <v>0</v>
      </c>
      <c r="M19" s="55">
        <v>0</v>
      </c>
      <c r="N19" s="75">
        <v>0</v>
      </c>
      <c r="O19" s="55">
        <v>1554</v>
      </c>
      <c r="P19" s="75">
        <v>389</v>
      </c>
      <c r="Q19" s="55">
        <v>832</v>
      </c>
      <c r="R19" s="75">
        <v>208</v>
      </c>
    </row>
    <row r="20" spans="1:18" ht="25.15" customHeight="1" x14ac:dyDescent="0.2">
      <c r="A20" s="49" t="s">
        <v>13</v>
      </c>
      <c r="B20" s="76">
        <v>11</v>
      </c>
      <c r="C20" s="57">
        <v>5321</v>
      </c>
      <c r="D20" s="77">
        <v>484</v>
      </c>
      <c r="E20" s="57">
        <v>0</v>
      </c>
      <c r="F20" s="77">
        <v>0</v>
      </c>
      <c r="G20" s="57">
        <v>4912</v>
      </c>
      <c r="H20" s="77">
        <v>447</v>
      </c>
      <c r="I20" s="57">
        <v>2576</v>
      </c>
      <c r="J20" s="77">
        <v>234</v>
      </c>
      <c r="K20" s="57">
        <v>0</v>
      </c>
      <c r="L20" s="77">
        <v>0</v>
      </c>
      <c r="M20" s="57">
        <v>2981</v>
      </c>
      <c r="N20" s="77">
        <v>271</v>
      </c>
      <c r="O20" s="57">
        <v>5338</v>
      </c>
      <c r="P20" s="77">
        <v>485</v>
      </c>
      <c r="Q20" s="57">
        <v>8064</v>
      </c>
      <c r="R20" s="77">
        <v>733</v>
      </c>
    </row>
    <row r="21" spans="1:18" ht="25.15" customHeight="1" x14ac:dyDescent="0.2">
      <c r="A21" s="53" t="s">
        <v>14</v>
      </c>
      <c r="B21" s="74">
        <v>7</v>
      </c>
      <c r="C21" s="55">
        <v>883</v>
      </c>
      <c r="D21" s="75">
        <v>126</v>
      </c>
      <c r="E21" s="55">
        <v>0</v>
      </c>
      <c r="F21" s="75">
        <v>0</v>
      </c>
      <c r="G21" s="55">
        <v>1969</v>
      </c>
      <c r="H21" s="75">
        <v>281</v>
      </c>
      <c r="I21" s="55">
        <v>810</v>
      </c>
      <c r="J21" s="75">
        <v>116</v>
      </c>
      <c r="K21" s="55">
        <v>0</v>
      </c>
      <c r="L21" s="75">
        <v>0</v>
      </c>
      <c r="M21" s="55">
        <v>252</v>
      </c>
      <c r="N21" s="75">
        <v>36</v>
      </c>
      <c r="O21" s="55">
        <v>2379</v>
      </c>
      <c r="P21" s="75">
        <v>340</v>
      </c>
      <c r="Q21" s="55">
        <v>2462</v>
      </c>
      <c r="R21" s="75">
        <v>352</v>
      </c>
    </row>
    <row r="22" spans="1:18" ht="25.15" customHeight="1" x14ac:dyDescent="0.2">
      <c r="A22" s="49" t="s">
        <v>15</v>
      </c>
      <c r="B22" s="76">
        <v>3</v>
      </c>
      <c r="C22" s="57">
        <v>169</v>
      </c>
      <c r="D22" s="77">
        <v>56</v>
      </c>
      <c r="E22" s="57">
        <v>0</v>
      </c>
      <c r="F22" s="77">
        <v>0</v>
      </c>
      <c r="G22" s="57">
        <v>734</v>
      </c>
      <c r="H22" s="77">
        <v>245</v>
      </c>
      <c r="I22" s="57">
        <v>0</v>
      </c>
      <c r="J22" s="77">
        <v>0</v>
      </c>
      <c r="K22" s="57">
        <v>48</v>
      </c>
      <c r="L22" s="77">
        <v>16</v>
      </c>
      <c r="M22" s="57">
        <v>0</v>
      </c>
      <c r="N22" s="77">
        <v>0</v>
      </c>
      <c r="O22" s="57">
        <v>587</v>
      </c>
      <c r="P22" s="77">
        <v>196</v>
      </c>
      <c r="Q22" s="57">
        <v>638</v>
      </c>
      <c r="R22" s="77">
        <v>213</v>
      </c>
    </row>
    <row r="23" spans="1:18" ht="25.15" customHeight="1" thickBot="1" x14ac:dyDescent="0.25">
      <c r="A23" s="58"/>
      <c r="B23" s="78"/>
      <c r="C23" s="79"/>
      <c r="D23" s="80"/>
      <c r="E23" s="79"/>
      <c r="F23" s="80"/>
      <c r="G23" s="79"/>
      <c r="H23" s="80"/>
      <c r="I23" s="79"/>
      <c r="J23" s="80"/>
      <c r="K23" s="79"/>
      <c r="L23" s="80"/>
      <c r="M23" s="79"/>
      <c r="N23" s="80"/>
      <c r="O23" s="79"/>
      <c r="P23" s="80"/>
      <c r="Q23" s="79"/>
      <c r="R23" s="80"/>
    </row>
    <row r="24" spans="1:18" ht="25.15" customHeight="1" thickBot="1" x14ac:dyDescent="0.25">
      <c r="A24" s="59" t="s">
        <v>16</v>
      </c>
      <c r="B24" s="81">
        <f t="shared" ref="B24:L24" si="0">SUM(B12:B23)</f>
        <v>60</v>
      </c>
      <c r="C24" s="70">
        <f t="shared" si="0"/>
        <v>11519</v>
      </c>
      <c r="D24" s="71">
        <f t="shared" si="0"/>
        <v>1587</v>
      </c>
      <c r="E24" s="70">
        <f t="shared" si="0"/>
        <v>543</v>
      </c>
      <c r="F24" s="71">
        <f t="shared" si="0"/>
        <v>109</v>
      </c>
      <c r="G24" s="70">
        <f t="shared" si="0"/>
        <v>22654</v>
      </c>
      <c r="H24" s="71">
        <f t="shared" si="0"/>
        <v>3680</v>
      </c>
      <c r="I24" s="70">
        <f t="shared" si="0"/>
        <v>7851</v>
      </c>
      <c r="J24" s="71">
        <f t="shared" si="0"/>
        <v>1143</v>
      </c>
      <c r="K24" s="70">
        <f t="shared" si="0"/>
        <v>437</v>
      </c>
      <c r="L24" s="71">
        <f t="shared" si="0"/>
        <v>78</v>
      </c>
      <c r="M24" s="70">
        <f t="shared" ref="M24:P24" si="1">SUM(M12:M23)</f>
        <v>4069</v>
      </c>
      <c r="N24" s="71">
        <f t="shared" si="1"/>
        <v>429</v>
      </c>
      <c r="O24" s="70">
        <f t="shared" si="1"/>
        <v>21317</v>
      </c>
      <c r="P24" s="71">
        <f t="shared" si="1"/>
        <v>3453</v>
      </c>
      <c r="Q24" s="70">
        <f t="shared" ref="Q24:R24" si="2">SUM(Q12:Q23)</f>
        <v>26022</v>
      </c>
      <c r="R24" s="71">
        <f t="shared" si="2"/>
        <v>3735</v>
      </c>
    </row>
  </sheetData>
  <mergeCells count="8">
    <mergeCell ref="Q9:R9"/>
    <mergeCell ref="O9:P9"/>
    <mergeCell ref="M9:N9"/>
    <mergeCell ref="C9:D9"/>
    <mergeCell ref="E9:F9"/>
    <mergeCell ref="G9:H9"/>
    <mergeCell ref="I9:J9"/>
    <mergeCell ref="K9:L9"/>
  </mergeCells>
  <pageMargins left="0.25" right="0.25" top="0.75" bottom="0.75" header="0.3" footer="0.3"/>
  <pageSetup paperSize="9" orientation="landscape" r:id="rId1"/>
  <headerFooter>
    <oddHeader>&amp;LWahlergebnis der Landratswahlen vom 13. März 2022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8"/>
  <sheetViews>
    <sheetView view="pageLayout" zoomScale="85" zoomScaleNormal="100" zoomScalePageLayoutView="85" workbookViewId="0">
      <selection activeCell="E16" sqref="E16"/>
    </sheetView>
  </sheetViews>
  <sheetFormatPr baseColWidth="10" defaultRowHeight="12.75" x14ac:dyDescent="0.2"/>
  <cols>
    <col min="1" max="1" width="29.28515625" customWidth="1"/>
    <col min="2" max="2" width="13.7109375" customWidth="1"/>
    <col min="3" max="3" width="14.28515625" customWidth="1"/>
    <col min="4" max="4" width="13.7109375" customWidth="1"/>
    <col min="5" max="5" width="15.28515625" customWidth="1"/>
  </cols>
  <sheetData>
    <row r="3" spans="1:6" s="2" customFormat="1" ht="18" x14ac:dyDescent="0.25">
      <c r="A3" s="2" t="s">
        <v>20</v>
      </c>
    </row>
    <row r="5" spans="1:6" s="20" customFormat="1" ht="15" x14ac:dyDescent="0.2">
      <c r="A5" s="1" t="s">
        <v>26</v>
      </c>
    </row>
    <row r="6" spans="1:6" s="20" customFormat="1" ht="15" x14ac:dyDescent="0.2">
      <c r="A6" s="1"/>
    </row>
    <row r="7" spans="1:6" ht="20.100000000000001" customHeight="1" x14ac:dyDescent="0.25">
      <c r="A7" s="20" t="s">
        <v>24</v>
      </c>
      <c r="B7" s="3">
        <v>60</v>
      </c>
      <c r="C7" s="20"/>
      <c r="D7" s="20"/>
    </row>
    <row r="8" spans="1:6" ht="20.100000000000001" customHeight="1" x14ac:dyDescent="0.2">
      <c r="A8" s="20" t="s">
        <v>23</v>
      </c>
      <c r="B8" s="62">
        <v>237.78</v>
      </c>
      <c r="C8" s="20"/>
      <c r="D8" s="20"/>
    </row>
    <row r="9" spans="1:6" ht="20.100000000000001" customHeight="1" x14ac:dyDescent="0.2">
      <c r="A9" s="20"/>
      <c r="B9" s="20"/>
      <c r="C9" s="20"/>
      <c r="D9" s="20"/>
      <c r="E9" s="20"/>
      <c r="F9" s="20"/>
    </row>
    <row r="10" spans="1:6" ht="20.100000000000001" customHeight="1" x14ac:dyDescent="0.25">
      <c r="A10" s="23" t="s">
        <v>21</v>
      </c>
      <c r="B10" s="23" t="s">
        <v>1</v>
      </c>
      <c r="C10" s="23" t="s">
        <v>18</v>
      </c>
      <c r="D10" s="23" t="s">
        <v>22</v>
      </c>
      <c r="E10" s="23" t="s">
        <v>25</v>
      </c>
      <c r="F10" s="20"/>
    </row>
    <row r="11" spans="1:6" ht="20.100000000000001" customHeight="1" x14ac:dyDescent="0.2">
      <c r="A11" s="21" t="s">
        <v>36</v>
      </c>
      <c r="B11" s="26">
        <v>11519</v>
      </c>
      <c r="C11" s="26">
        <v>1587</v>
      </c>
      <c r="D11" s="43">
        <v>6.67</v>
      </c>
      <c r="E11" s="21">
        <v>7</v>
      </c>
      <c r="F11" s="20"/>
    </row>
    <row r="12" spans="1:6" ht="30" x14ac:dyDescent="0.2">
      <c r="A12" s="61" t="s">
        <v>39</v>
      </c>
      <c r="B12" s="27">
        <v>543</v>
      </c>
      <c r="C12" s="27">
        <v>109</v>
      </c>
      <c r="D12" s="44">
        <v>0.46</v>
      </c>
      <c r="E12" s="22">
        <v>0</v>
      </c>
      <c r="F12" s="20"/>
    </row>
    <row r="13" spans="1:6" ht="20.100000000000001" customHeight="1" x14ac:dyDescent="0.2">
      <c r="A13" s="21" t="s">
        <v>41</v>
      </c>
      <c r="B13" s="26">
        <v>22654</v>
      </c>
      <c r="C13" s="26">
        <v>3680</v>
      </c>
      <c r="D13" s="43">
        <v>15.48</v>
      </c>
      <c r="E13" s="21">
        <v>15</v>
      </c>
      <c r="F13" s="20"/>
    </row>
    <row r="14" spans="1:6" ht="20.100000000000001" customHeight="1" x14ac:dyDescent="0.2">
      <c r="A14" s="22" t="s">
        <v>40</v>
      </c>
      <c r="B14" s="27">
        <v>7851</v>
      </c>
      <c r="C14" s="27">
        <v>1143</v>
      </c>
      <c r="D14" s="44">
        <v>4.8099999999999996</v>
      </c>
      <c r="E14" s="22">
        <v>5</v>
      </c>
      <c r="F14" s="20"/>
    </row>
    <row r="15" spans="1:6" ht="20.100000000000001" customHeight="1" x14ac:dyDescent="0.2">
      <c r="A15" s="21" t="s">
        <v>42</v>
      </c>
      <c r="B15" s="26">
        <v>437</v>
      </c>
      <c r="C15" s="26">
        <v>78</v>
      </c>
      <c r="D15" s="43">
        <v>0.33</v>
      </c>
      <c r="E15" s="21">
        <v>0</v>
      </c>
      <c r="F15" s="20"/>
    </row>
    <row r="16" spans="1:6" ht="20.100000000000001" customHeight="1" x14ac:dyDescent="0.2">
      <c r="A16" s="22" t="s">
        <v>37</v>
      </c>
      <c r="B16" s="27">
        <v>4069</v>
      </c>
      <c r="C16" s="27">
        <v>429</v>
      </c>
      <c r="D16" s="44">
        <v>1.8</v>
      </c>
      <c r="E16" s="22">
        <v>2</v>
      </c>
    </row>
    <row r="17" spans="1:5" ht="18" customHeight="1" x14ac:dyDescent="0.2">
      <c r="A17" s="21" t="s">
        <v>4</v>
      </c>
      <c r="B17" s="26">
        <v>21317</v>
      </c>
      <c r="C17" s="26">
        <v>3453</v>
      </c>
      <c r="D17" s="43">
        <v>14.52</v>
      </c>
      <c r="E17" s="21">
        <v>15</v>
      </c>
    </row>
    <row r="18" spans="1:5" ht="19.899999999999999" customHeight="1" x14ac:dyDescent="0.2">
      <c r="A18" s="22" t="s">
        <v>38</v>
      </c>
      <c r="B18" s="27">
        <v>26022</v>
      </c>
      <c r="C18" s="27">
        <v>3735</v>
      </c>
      <c r="D18" s="44">
        <v>15.71</v>
      </c>
      <c r="E18" s="22">
        <v>16</v>
      </c>
    </row>
  </sheetData>
  <pageMargins left="0.7" right="0.7" top="0.78740157499999996" bottom="0.78740157499999996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29"/>
  <sheetViews>
    <sheetView view="pageLayout" zoomScaleNormal="85" workbookViewId="0">
      <selection activeCell="H35" sqref="H35"/>
    </sheetView>
  </sheetViews>
  <sheetFormatPr baseColWidth="10" defaultRowHeight="12.75" x14ac:dyDescent="0.2"/>
  <cols>
    <col min="1" max="1" width="18" customWidth="1"/>
    <col min="2" max="2" width="6.28515625" customWidth="1"/>
    <col min="3" max="3" width="9" customWidth="1"/>
    <col min="4" max="4" width="5.42578125" customWidth="1"/>
    <col min="5" max="5" width="9.28515625" customWidth="1"/>
    <col min="6" max="6" width="5.42578125" customWidth="1"/>
    <col min="7" max="7" width="8.7109375" customWidth="1"/>
    <col min="8" max="8" width="5.42578125" customWidth="1"/>
    <col min="9" max="9" width="8.7109375" customWidth="1"/>
    <col min="10" max="10" width="5.42578125" customWidth="1"/>
    <col min="11" max="11" width="8.7109375" customWidth="1"/>
    <col min="12" max="12" width="5.42578125" customWidth="1"/>
    <col min="13" max="13" width="8.7109375" customWidth="1"/>
    <col min="14" max="14" width="5.42578125" customWidth="1"/>
    <col min="15" max="15" width="18" customWidth="1"/>
  </cols>
  <sheetData>
    <row r="3" spans="1:15" ht="18" x14ac:dyDescent="0.25">
      <c r="A3" s="2" t="s">
        <v>27</v>
      </c>
    </row>
    <row r="5" spans="1:15" ht="39" customHeight="1" x14ac:dyDescent="0.2">
      <c r="A5" s="86" t="s">
        <v>31</v>
      </c>
      <c r="B5" s="87"/>
      <c r="C5" s="87"/>
      <c r="D5" s="87"/>
      <c r="E5" s="87"/>
      <c r="F5" s="87"/>
      <c r="G5" s="87"/>
    </row>
    <row r="6" spans="1:15" x14ac:dyDescent="0.2">
      <c r="A6" s="87"/>
      <c r="B6" s="87"/>
      <c r="C6" s="87"/>
      <c r="D6" s="87"/>
      <c r="E6" s="87"/>
      <c r="F6" s="87"/>
      <c r="G6" s="87"/>
    </row>
    <row r="7" spans="1:15" ht="13.5" thickBot="1" x14ac:dyDescent="0.25"/>
    <row r="8" spans="1:15" ht="15" x14ac:dyDescent="0.25">
      <c r="A8" s="14" t="s">
        <v>0</v>
      </c>
      <c r="B8" s="16" t="s">
        <v>2</v>
      </c>
      <c r="C8" s="82" t="s">
        <v>33</v>
      </c>
      <c r="D8" s="83"/>
      <c r="E8" s="82" t="s">
        <v>41</v>
      </c>
      <c r="F8" s="83"/>
      <c r="G8" s="82" t="s">
        <v>44</v>
      </c>
      <c r="H8" s="83"/>
      <c r="I8" s="82" t="s">
        <v>37</v>
      </c>
      <c r="J8" s="83"/>
      <c r="K8" s="82" t="s">
        <v>4</v>
      </c>
      <c r="L8" s="83"/>
      <c r="M8" s="82" t="s">
        <v>3</v>
      </c>
      <c r="N8" s="83"/>
      <c r="O8" s="66" t="s">
        <v>28</v>
      </c>
    </row>
    <row r="9" spans="1:15" ht="15.75" thickBot="1" x14ac:dyDescent="0.3">
      <c r="A9" s="15"/>
      <c r="B9" s="17"/>
      <c r="C9" s="8" t="s">
        <v>1</v>
      </c>
      <c r="D9" s="9" t="s">
        <v>2</v>
      </c>
      <c r="E9" s="8" t="s">
        <v>1</v>
      </c>
      <c r="F9" s="9" t="s">
        <v>2</v>
      </c>
      <c r="G9" s="8" t="s">
        <v>1</v>
      </c>
      <c r="H9" s="9" t="s">
        <v>2</v>
      </c>
      <c r="I9" s="8" t="s">
        <v>1</v>
      </c>
      <c r="J9" s="9" t="s">
        <v>2</v>
      </c>
      <c r="K9" s="8" t="s">
        <v>1</v>
      </c>
      <c r="L9" s="9" t="s">
        <v>2</v>
      </c>
      <c r="M9" s="8" t="s">
        <v>1</v>
      </c>
      <c r="N9" s="9" t="s">
        <v>2</v>
      </c>
      <c r="O9" s="67" t="s">
        <v>29</v>
      </c>
    </row>
    <row r="10" spans="1:15" ht="13.5" thickBot="1" x14ac:dyDescent="0.25">
      <c r="A10" s="19"/>
    </row>
    <row r="11" spans="1:15" ht="15" x14ac:dyDescent="0.2">
      <c r="A11" s="10" t="s">
        <v>5</v>
      </c>
      <c r="B11" s="51">
        <v>5</v>
      </c>
      <c r="C11" s="30">
        <v>845</v>
      </c>
      <c r="D11" s="4">
        <v>1</v>
      </c>
      <c r="E11" s="30">
        <v>1116</v>
      </c>
      <c r="F11" s="4">
        <v>1</v>
      </c>
      <c r="G11" s="30">
        <v>421</v>
      </c>
      <c r="H11" s="4">
        <v>0</v>
      </c>
      <c r="I11" s="30">
        <v>132</v>
      </c>
      <c r="J11" s="4">
        <v>0</v>
      </c>
      <c r="K11" s="30">
        <v>1585</v>
      </c>
      <c r="L11" s="4">
        <v>1</v>
      </c>
      <c r="M11" s="30">
        <v>2154</v>
      </c>
      <c r="N11" s="4">
        <v>2</v>
      </c>
      <c r="O11" s="63" t="s">
        <v>45</v>
      </c>
    </row>
    <row r="12" spans="1:15" ht="15" x14ac:dyDescent="0.2">
      <c r="A12" s="11" t="s">
        <v>6</v>
      </c>
      <c r="B12" s="54">
        <v>7</v>
      </c>
      <c r="C12" s="28">
        <v>893</v>
      </c>
      <c r="D12" s="5">
        <v>1</v>
      </c>
      <c r="E12" s="28">
        <v>3648</v>
      </c>
      <c r="F12" s="5">
        <v>2</v>
      </c>
      <c r="G12" s="28">
        <v>1384</v>
      </c>
      <c r="H12" s="5">
        <v>1</v>
      </c>
      <c r="I12" s="28">
        <v>277</v>
      </c>
      <c r="J12" s="5">
        <v>0</v>
      </c>
      <c r="K12" s="28">
        <v>2748</v>
      </c>
      <c r="L12" s="5">
        <v>2</v>
      </c>
      <c r="M12" s="28">
        <v>2806</v>
      </c>
      <c r="N12" s="5">
        <v>1</v>
      </c>
      <c r="O12" s="64" t="s">
        <v>46</v>
      </c>
    </row>
    <row r="13" spans="1:15" ht="15" x14ac:dyDescent="0.2">
      <c r="A13" s="12" t="s">
        <v>7</v>
      </c>
      <c r="B13" s="56">
        <v>3</v>
      </c>
      <c r="C13" s="29">
        <v>172</v>
      </c>
      <c r="D13" s="6">
        <v>0</v>
      </c>
      <c r="E13" s="29">
        <v>632</v>
      </c>
      <c r="F13" s="6">
        <v>1</v>
      </c>
      <c r="G13" s="29">
        <v>101</v>
      </c>
      <c r="H13" s="6">
        <v>0</v>
      </c>
      <c r="I13" s="29">
        <v>0</v>
      </c>
      <c r="J13" s="6">
        <v>0</v>
      </c>
      <c r="K13" s="29">
        <v>647</v>
      </c>
      <c r="L13" s="6">
        <v>1</v>
      </c>
      <c r="M13" s="29">
        <v>546</v>
      </c>
      <c r="N13" s="6">
        <v>1</v>
      </c>
      <c r="O13" s="65" t="s">
        <v>47</v>
      </c>
    </row>
    <row r="14" spans="1:15" ht="15" x14ac:dyDescent="0.2">
      <c r="A14" s="11" t="s">
        <v>8</v>
      </c>
      <c r="B14" s="54">
        <v>2</v>
      </c>
      <c r="C14" s="28">
        <v>56</v>
      </c>
      <c r="D14" s="5">
        <v>0</v>
      </c>
      <c r="E14" s="28">
        <v>218</v>
      </c>
      <c r="F14" s="5">
        <v>1</v>
      </c>
      <c r="G14" s="28">
        <v>143</v>
      </c>
      <c r="H14" s="5">
        <v>0</v>
      </c>
      <c r="I14" s="28">
        <v>0</v>
      </c>
      <c r="J14" s="5">
        <v>0</v>
      </c>
      <c r="K14" s="28">
        <v>269</v>
      </c>
      <c r="L14" s="5">
        <v>1</v>
      </c>
      <c r="M14" s="28">
        <v>106</v>
      </c>
      <c r="N14" s="5">
        <v>0</v>
      </c>
      <c r="O14" s="64" t="s">
        <v>48</v>
      </c>
    </row>
    <row r="15" spans="1:15" ht="15" x14ac:dyDescent="0.2">
      <c r="A15" s="12" t="s">
        <v>9</v>
      </c>
      <c r="B15" s="56">
        <v>7</v>
      </c>
      <c r="C15" s="29">
        <v>1658</v>
      </c>
      <c r="D15" s="6">
        <v>1</v>
      </c>
      <c r="E15" s="29">
        <v>4007</v>
      </c>
      <c r="F15" s="6">
        <v>2</v>
      </c>
      <c r="G15" s="29">
        <v>823</v>
      </c>
      <c r="H15" s="6">
        <v>1</v>
      </c>
      <c r="I15" s="29">
        <v>169</v>
      </c>
      <c r="J15" s="6">
        <v>0</v>
      </c>
      <c r="K15" s="29">
        <v>2371</v>
      </c>
      <c r="L15" s="6">
        <v>1</v>
      </c>
      <c r="M15" s="29">
        <v>2871</v>
      </c>
      <c r="N15" s="6">
        <v>2</v>
      </c>
      <c r="O15" s="65" t="s">
        <v>49</v>
      </c>
    </row>
    <row r="16" spans="1:15" ht="15" x14ac:dyDescent="0.2">
      <c r="A16" s="11" t="s">
        <v>10</v>
      </c>
      <c r="B16" s="54">
        <v>3</v>
      </c>
      <c r="C16" s="28">
        <v>297</v>
      </c>
      <c r="D16" s="5">
        <v>1</v>
      </c>
      <c r="E16" s="28">
        <v>714</v>
      </c>
      <c r="F16" s="5">
        <v>1</v>
      </c>
      <c r="G16" s="28">
        <v>138</v>
      </c>
      <c r="H16" s="5">
        <v>0</v>
      </c>
      <c r="I16" s="28">
        <v>0</v>
      </c>
      <c r="J16" s="5">
        <v>0</v>
      </c>
      <c r="K16" s="28">
        <v>782</v>
      </c>
      <c r="L16" s="5">
        <v>1</v>
      </c>
      <c r="M16" s="28">
        <v>282</v>
      </c>
      <c r="N16" s="5">
        <v>0</v>
      </c>
      <c r="O16" s="64" t="s">
        <v>50</v>
      </c>
    </row>
    <row r="17" spans="1:15" ht="15" x14ac:dyDescent="0.2">
      <c r="A17" s="12" t="s">
        <v>11</v>
      </c>
      <c r="B17" s="56">
        <v>8</v>
      </c>
      <c r="C17" s="29">
        <v>831</v>
      </c>
      <c r="D17" s="6">
        <v>0</v>
      </c>
      <c r="E17" s="29">
        <v>2750</v>
      </c>
      <c r="F17" s="6">
        <v>2</v>
      </c>
      <c r="G17" s="29">
        <v>979</v>
      </c>
      <c r="H17" s="6">
        <v>1</v>
      </c>
      <c r="I17" s="29">
        <v>258</v>
      </c>
      <c r="J17" s="6">
        <v>0</v>
      </c>
      <c r="K17" s="29">
        <v>3057</v>
      </c>
      <c r="L17" s="6">
        <v>2</v>
      </c>
      <c r="M17" s="29">
        <v>5261</v>
      </c>
      <c r="N17" s="6">
        <v>3</v>
      </c>
      <c r="O17" s="65" t="s">
        <v>51</v>
      </c>
    </row>
    <row r="18" spans="1:15" ht="15" x14ac:dyDescent="0.2">
      <c r="A18" s="11" t="s">
        <v>12</v>
      </c>
      <c r="B18" s="54">
        <v>4</v>
      </c>
      <c r="C18" s="28">
        <v>394</v>
      </c>
      <c r="D18" s="5">
        <v>0</v>
      </c>
      <c r="E18" s="28">
        <v>1954</v>
      </c>
      <c r="F18" s="5">
        <v>2</v>
      </c>
      <c r="G18" s="28">
        <v>476</v>
      </c>
      <c r="H18" s="5">
        <v>0</v>
      </c>
      <c r="I18" s="28">
        <v>0</v>
      </c>
      <c r="J18" s="5">
        <v>0</v>
      </c>
      <c r="K18" s="28">
        <v>1554</v>
      </c>
      <c r="L18" s="5">
        <v>1</v>
      </c>
      <c r="M18" s="28">
        <v>832</v>
      </c>
      <c r="N18" s="5">
        <v>1</v>
      </c>
      <c r="O18" s="64" t="s">
        <v>52</v>
      </c>
    </row>
    <row r="19" spans="1:15" ht="15" x14ac:dyDescent="0.2">
      <c r="A19" s="12" t="s">
        <v>13</v>
      </c>
      <c r="B19" s="56">
        <v>11</v>
      </c>
      <c r="C19" s="29">
        <v>5321</v>
      </c>
      <c r="D19" s="6">
        <v>2</v>
      </c>
      <c r="E19" s="29">
        <v>4912</v>
      </c>
      <c r="F19" s="6">
        <v>1</v>
      </c>
      <c r="G19" s="29">
        <v>2576</v>
      </c>
      <c r="H19" s="6">
        <v>1</v>
      </c>
      <c r="I19" s="29">
        <v>2981</v>
      </c>
      <c r="J19" s="6">
        <v>2</v>
      </c>
      <c r="K19" s="29">
        <v>5338</v>
      </c>
      <c r="L19" s="6">
        <v>2</v>
      </c>
      <c r="M19" s="29">
        <v>8064</v>
      </c>
      <c r="N19" s="6">
        <v>3</v>
      </c>
      <c r="O19" s="65" t="s">
        <v>53</v>
      </c>
    </row>
    <row r="20" spans="1:15" ht="15" x14ac:dyDescent="0.2">
      <c r="A20" s="11" t="s">
        <v>14</v>
      </c>
      <c r="B20" s="54">
        <v>7</v>
      </c>
      <c r="C20" s="28">
        <v>883</v>
      </c>
      <c r="D20" s="5">
        <v>1</v>
      </c>
      <c r="E20" s="28">
        <v>1969</v>
      </c>
      <c r="F20" s="5">
        <v>1</v>
      </c>
      <c r="G20" s="28">
        <v>810</v>
      </c>
      <c r="H20" s="5">
        <v>1</v>
      </c>
      <c r="I20" s="28">
        <v>252</v>
      </c>
      <c r="J20" s="5">
        <v>0</v>
      </c>
      <c r="K20" s="28">
        <v>2379</v>
      </c>
      <c r="L20" s="5">
        <v>2</v>
      </c>
      <c r="M20" s="28">
        <v>2462</v>
      </c>
      <c r="N20" s="5">
        <v>2</v>
      </c>
      <c r="O20" s="64" t="s">
        <v>54</v>
      </c>
    </row>
    <row r="21" spans="1:15" ht="15" x14ac:dyDescent="0.2">
      <c r="A21" s="12" t="s">
        <v>15</v>
      </c>
      <c r="B21" s="56">
        <v>3</v>
      </c>
      <c r="C21" s="29">
        <v>169</v>
      </c>
      <c r="D21" s="6">
        <v>0</v>
      </c>
      <c r="E21" s="29">
        <v>734</v>
      </c>
      <c r="F21" s="6">
        <v>1</v>
      </c>
      <c r="G21" s="29">
        <v>0</v>
      </c>
      <c r="H21" s="6">
        <v>0</v>
      </c>
      <c r="I21" s="29">
        <v>0</v>
      </c>
      <c r="J21" s="6">
        <v>0</v>
      </c>
      <c r="K21" s="29">
        <v>587</v>
      </c>
      <c r="L21" s="6">
        <v>1</v>
      </c>
      <c r="M21" s="29">
        <v>638</v>
      </c>
      <c r="N21" s="6">
        <v>1</v>
      </c>
      <c r="O21" s="65" t="s">
        <v>47</v>
      </c>
    </row>
    <row r="22" spans="1:15" ht="15.75" thickBot="1" x14ac:dyDescent="0.25">
      <c r="A22" s="13"/>
      <c r="B22" s="18"/>
      <c r="C22" s="31"/>
      <c r="D22" s="7"/>
      <c r="E22" s="31"/>
      <c r="F22" s="7"/>
      <c r="G22" s="31"/>
      <c r="H22" s="6"/>
      <c r="I22" s="31"/>
      <c r="J22" s="7"/>
      <c r="K22" s="31"/>
      <c r="L22" s="7"/>
      <c r="M22" s="31"/>
      <c r="N22" s="7"/>
      <c r="O22" s="24"/>
    </row>
    <row r="23" spans="1:15" ht="15.75" x14ac:dyDescent="0.25">
      <c r="A23" s="33" t="s">
        <v>16</v>
      </c>
      <c r="B23" s="34">
        <f t="shared" ref="B23:H23" si="0">SUM(B11:B22)</f>
        <v>60</v>
      </c>
      <c r="C23" s="35">
        <f t="shared" si="0"/>
        <v>11519</v>
      </c>
      <c r="D23" s="36">
        <f t="shared" si="0"/>
        <v>7</v>
      </c>
      <c r="E23" s="35">
        <f t="shared" si="0"/>
        <v>22654</v>
      </c>
      <c r="F23" s="36">
        <f t="shared" si="0"/>
        <v>15</v>
      </c>
      <c r="G23" s="35">
        <f t="shared" si="0"/>
        <v>7851</v>
      </c>
      <c r="H23" s="37">
        <f t="shared" si="0"/>
        <v>5</v>
      </c>
      <c r="I23" s="35">
        <f t="shared" ref="I23:J23" si="1">SUM(I11:I22)</f>
        <v>4069</v>
      </c>
      <c r="J23" s="36">
        <f t="shared" si="1"/>
        <v>2</v>
      </c>
      <c r="K23" s="35">
        <f t="shared" ref="K23:N23" si="2">SUM(K11:K22)</f>
        <v>21317</v>
      </c>
      <c r="L23" s="36">
        <f t="shared" si="2"/>
        <v>15</v>
      </c>
      <c r="M23" s="35">
        <f t="shared" si="2"/>
        <v>26022</v>
      </c>
      <c r="N23" s="36">
        <f t="shared" si="2"/>
        <v>16</v>
      </c>
      <c r="O23" s="25"/>
    </row>
    <row r="24" spans="1:15" x14ac:dyDescent="0.2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</row>
    <row r="25" spans="1:15" ht="15.75" x14ac:dyDescent="0.25">
      <c r="A25" s="47" t="s">
        <v>30</v>
      </c>
      <c r="B25" s="48"/>
      <c r="C25" s="88" t="s">
        <v>55</v>
      </c>
      <c r="D25" s="89"/>
      <c r="E25" s="89" t="s">
        <v>56</v>
      </c>
      <c r="F25" s="89"/>
      <c r="G25" s="89" t="s">
        <v>57</v>
      </c>
      <c r="H25" s="89"/>
      <c r="I25" s="89" t="s">
        <v>58</v>
      </c>
      <c r="J25" s="89"/>
      <c r="K25" s="89" t="s">
        <v>59</v>
      </c>
      <c r="L25" s="89"/>
      <c r="M25" s="89" t="s">
        <v>60</v>
      </c>
      <c r="N25" s="89"/>
    </row>
    <row r="26" spans="1:15" x14ac:dyDescent="0.2">
      <c r="A26" s="45"/>
      <c r="B26" s="46"/>
      <c r="C26" s="90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</row>
    <row r="27" spans="1:15" x14ac:dyDescent="0.2">
      <c r="C27" s="32"/>
      <c r="D27" s="32"/>
      <c r="I27" s="32"/>
      <c r="J27" s="32"/>
      <c r="K27" s="32"/>
      <c r="L27" s="32"/>
      <c r="M27" s="32"/>
      <c r="N27" s="32"/>
    </row>
    <row r="28" spans="1:15" x14ac:dyDescent="0.2">
      <c r="C28" s="32"/>
      <c r="D28" s="32"/>
      <c r="I28" s="32"/>
      <c r="J28" s="32"/>
      <c r="K28" s="32"/>
      <c r="L28" s="32"/>
      <c r="M28" s="32"/>
      <c r="N28" s="32"/>
    </row>
    <row r="29" spans="1:15" x14ac:dyDescent="0.2">
      <c r="C29" s="32"/>
      <c r="D29" s="32"/>
      <c r="I29" s="32"/>
      <c r="J29" s="32"/>
      <c r="K29" s="32"/>
      <c r="L29" s="32"/>
      <c r="M29" s="32"/>
      <c r="N29" s="32"/>
    </row>
  </sheetData>
  <mergeCells count="13">
    <mergeCell ref="K8:L8"/>
    <mergeCell ref="K25:L26"/>
    <mergeCell ref="M8:N8"/>
    <mergeCell ref="M25:N26"/>
    <mergeCell ref="I8:J8"/>
    <mergeCell ref="I25:J26"/>
    <mergeCell ref="A5:G6"/>
    <mergeCell ref="C8:D8"/>
    <mergeCell ref="E8:F8"/>
    <mergeCell ref="G8:H8"/>
    <mergeCell ref="C25:D26"/>
    <mergeCell ref="E25:F26"/>
    <mergeCell ref="G25:H26"/>
  </mergeCells>
  <pageMargins left="0.7" right="0.7" top="0.78740157499999996" bottom="0.78740157499999996" header="0.3" footer="0.3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Basiszahlen</vt:lpstr>
      <vt:lpstr>Oberzuteilung</vt:lpstr>
      <vt:lpstr>Unterzuteilung</vt:lpstr>
    </vt:vector>
  </TitlesOfParts>
  <Company>Kantone Obwalden / Nidwalden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InformatikLeistungsZentrum</dc:creator>
  <cp:lastModifiedBy>Blättler Maggie</cp:lastModifiedBy>
  <cp:lastPrinted>2022-03-14T08:45:35Z</cp:lastPrinted>
  <dcterms:created xsi:type="dcterms:W3CDTF">2014-03-17T14:04:45Z</dcterms:created>
  <dcterms:modified xsi:type="dcterms:W3CDTF">2022-03-14T08:45:42Z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
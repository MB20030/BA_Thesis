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P:\03 Wahlen und Abstimmungen\Amtsblatt\"/>
    </mc:Choice>
  </mc:AlternateContent>
  <xr:revisionPtr revIDLastSave="0" documentId="14_{FFC47E20-66A2-48F3-900B-9BE8019D4ACB}" xr6:coauthVersionLast="47" xr6:coauthVersionMax="47" xr10:uidLastSave="{00000000-0000-0000-0000-000000000000}"/>
  <bookViews>
    <workbookView xWindow="-120" yWindow="480" windowWidth="38640" windowHeight="20520" activeTab="2" xr2:uid="{00000000-000D-0000-FFFF-FFFF00000000}"/>
  </bookViews>
  <sheets>
    <sheet name="Basiszahlen" sheetId="1" r:id="rId1"/>
    <sheet name="Oberzuteilung" sheetId="2" r:id="rId2"/>
    <sheet name="Unterzuteilung" sheetId="3" r:id="rId3"/>
  </sheets>
  <definedNames>
    <definedName name="_xlnm.Print_Area" localSheetId="0">Basiszahlen!$A$1:$N$24</definedName>
    <definedName name="_xlnm.Print_Area" localSheetId="1">Oberzuteilung!$A$1:$E$16</definedName>
    <definedName name="_xlnm.Print_Area" localSheetId="2">Unterzuteilung!$A$1:$O$30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3" i="3" l="1"/>
  <c r="M23" i="3"/>
  <c r="L23" i="3"/>
  <c r="K23" i="3"/>
  <c r="I23" i="3" l="1"/>
  <c r="J23" i="3"/>
  <c r="N24" i="1"/>
  <c r="M24" i="1"/>
  <c r="H23" i="3"/>
  <c r="G23" i="3"/>
  <c r="F23" i="3"/>
  <c r="E23" i="3"/>
  <c r="D23" i="3"/>
  <c r="C23" i="3"/>
  <c r="B23" i="3"/>
  <c r="L24" i="1"/>
  <c r="K24" i="1"/>
  <c r="J24" i="1"/>
  <c r="I24" i="1"/>
  <c r="H24" i="1"/>
  <c r="G24" i="1"/>
  <c r="F24" i="1"/>
  <c r="E24" i="1"/>
  <c r="B24" i="1"/>
  <c r="C24" i="1"/>
  <c r="D24" i="1"/>
</calcChain>
</file>

<file path=xl/sharedStrings.xml><?xml version="1.0" encoding="utf-8"?>
<sst xmlns="http://schemas.openxmlformats.org/spreadsheetml/2006/main" count="100" uniqueCount="56">
  <si>
    <t>Gemeinde</t>
  </si>
  <si>
    <t>Stimmen</t>
  </si>
  <si>
    <t>Sitze</t>
  </si>
  <si>
    <t>FDP</t>
  </si>
  <si>
    <t>SVP</t>
  </si>
  <si>
    <t>Beckenried</t>
  </si>
  <si>
    <t>Buochs</t>
  </si>
  <si>
    <t>Dallenwil</t>
  </si>
  <si>
    <t>Emmetten</t>
  </si>
  <si>
    <t>Ennetbürgen</t>
  </si>
  <si>
    <t>Ennetmoos</t>
  </si>
  <si>
    <t>Hergiswil</t>
  </si>
  <si>
    <t>Oberdorf</t>
  </si>
  <si>
    <t>Stans</t>
  </si>
  <si>
    <t>Stansstad</t>
  </si>
  <si>
    <t>Wolfenschiessen</t>
  </si>
  <si>
    <t>Total</t>
  </si>
  <si>
    <t>Die Basiszahlen weisen die Anzahl erzielter Stimmen und die Wählerzahl der einzelnen Listen für den Kanton und die einzelnen Gemeinden aus.</t>
  </si>
  <si>
    <t>Wählerzahl</t>
  </si>
  <si>
    <t>1. Basiszahlen</t>
  </si>
  <si>
    <t>2. Oberzuteilung</t>
  </si>
  <si>
    <t>Liste</t>
  </si>
  <si>
    <t>Quotient</t>
  </si>
  <si>
    <t>Wahlschlüssel</t>
  </si>
  <si>
    <t>Sitze Gesamt</t>
  </si>
  <si>
    <t>Sitzanspruch</t>
  </si>
  <si>
    <t>Mit der Oberzuteilung wird der Sitzanspruch der einzelnen Listen im ganzen Kanton festgelegt.</t>
  </si>
  <si>
    <t>3. abschliessende Unterzuteilung</t>
  </si>
  <si>
    <t>Wahlkreis-</t>
  </si>
  <si>
    <t>divisor</t>
  </si>
  <si>
    <t>Parteidivisor</t>
  </si>
  <si>
    <t>Mit der Unterzuteilung wird die Zahl der Sitze je Liste in den einzelnen Gemeinden festgelegt. Die Parteistimmenzahl einer Liste wird durch den Wahlkreis-Divisor und den Listengruppen-Divisor geteilt.</t>
  </si>
  <si>
    <t>WZ</t>
  </si>
  <si>
    <t>Grüne</t>
  </si>
  <si>
    <t>WZ = Wählerzahl</t>
  </si>
  <si>
    <t>Grüne Nidwalden</t>
  </si>
  <si>
    <t>FDP.Die Liberalen</t>
  </si>
  <si>
    <t>Die Mitte</t>
  </si>
  <si>
    <t>GLP</t>
  </si>
  <si>
    <t>0.7500</t>
  </si>
  <si>
    <t>0.5000</t>
  </si>
  <si>
    <t>0.2500</t>
  </si>
  <si>
    <t>Wahlergebnis der Landratswahlen vom 8. März 2026</t>
  </si>
  <si>
    <t>SP</t>
  </si>
  <si>
    <t>Grünliberale Partei Nidwalden</t>
  </si>
  <si>
    <t>SVP Nidwalden</t>
  </si>
  <si>
    <t>Die Mitte Nidwalden</t>
  </si>
  <si>
    <t>SP Nidwalden</t>
  </si>
  <si>
    <t>1.2500</t>
  </si>
  <si>
    <t>0.3984</t>
  </si>
  <si>
    <t>0.8496</t>
  </si>
  <si>
    <t>0.3781</t>
  </si>
  <si>
    <t>1.1456</t>
  </si>
  <si>
    <t>1.7402</t>
  </si>
  <si>
    <t>0.8724</t>
  </si>
  <si>
    <r>
      <rPr>
        <b/>
        <sz val="10"/>
        <color theme="1"/>
        <rFont val="Arial"/>
        <family val="2"/>
      </rPr>
      <t xml:space="preserve">Rechtsmittel
</t>
    </r>
    <r>
      <rPr>
        <b/>
        <sz val="3"/>
        <color theme="1"/>
        <rFont val="Arial"/>
        <family val="2"/>
      </rPr>
      <t xml:space="preserve"> </t>
    </r>
    <r>
      <rPr>
        <sz val="10"/>
        <color theme="1"/>
        <rFont val="Arial"/>
        <family val="2"/>
      </rPr>
      <t>Diese Wahlfeststellungen des kantonalen Abstimmungsbüros können binnen 3 Tagen nach der erfolg-ten Veröffentlichung mit Beschwerde beim Regierungsrat, Dorfplatz 2, Postfach 1246, 6371 Stans, angefochten werden. Beschwerdeberechtigt ist jede Aktivbürgerin beziehungsweise jeder Aktivbürger (Art. 27 des Gesetzes vom 26. April 1981 über die Verhältniswahl des Landrates, NG 132.1).
Stans, 8. März 2026			KANTONALES ABSTIMMUNGSBÜRO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</si>
</sst>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Red]#,##0"/>
    <numFmt numFmtId="165" formatCode="#,##0.0000"/>
  </numFmts>
  <fonts count="15" x14ac:knownFonts="1">
    <font>
      <sz val="10"/>
      <color theme="1"/>
      <name val="Arial"/>
      <family val="2"/>
    </font>
    <font>
      <b/>
      <sz val="10"/>
      <color theme="1"/>
      <name val="Arial"/>
      <family val="2"/>
    </font>
    <font>
      <b/>
      <sz val="11"/>
      <color theme="1"/>
      <name val="Arial"/>
      <family val="2"/>
    </font>
    <font>
      <sz val="12"/>
      <color theme="1"/>
      <name val="Arial"/>
      <family val="2"/>
    </font>
    <font>
      <sz val="11"/>
      <color theme="1"/>
      <name val="Arial"/>
      <family val="2"/>
    </font>
    <font>
      <b/>
      <sz val="12"/>
      <color theme="1"/>
      <name val="Arial"/>
      <family val="2"/>
    </font>
    <font>
      <b/>
      <sz val="14"/>
      <color theme="1"/>
      <name val="Arial"/>
      <family val="2"/>
    </font>
    <font>
      <b/>
      <sz val="16"/>
      <color theme="1"/>
      <name val="Arial"/>
      <family val="2"/>
    </font>
    <font>
      <sz val="10"/>
      <color theme="1"/>
      <name val="Arial"/>
      <family val="2"/>
    </font>
    <font>
      <sz val="16"/>
      <color theme="1"/>
      <name val="Arial"/>
      <family val="2"/>
    </font>
    <font>
      <b/>
      <sz val="9"/>
      <color theme="1"/>
      <name val="Arial"/>
      <family val="2"/>
    </font>
    <font>
      <sz val="10"/>
      <name val="Arial"/>
      <family val="2"/>
    </font>
    <font>
      <sz val="12"/>
      <name val="Arial"/>
      <family val="2"/>
    </font>
    <font>
      <sz val="9"/>
      <name val="Arial"/>
      <family val="2"/>
    </font>
    <font>
      <b/>
      <sz val="3"/>
      <color theme="1"/>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s>
  <borders count="3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3" fontId="8" fillId="0" borderId="0" applyFont="0" applyFill="0" applyBorder="0" applyAlignment="0" applyProtection="0"/>
  </cellStyleXfs>
  <cellXfs count="94">
    <xf numFmtId="0" fontId="0" fillId="0" borderId="0" xfId="0"/>
    <xf numFmtId="0" fontId="4" fillId="0" borderId="0" xfId="0" applyFont="1"/>
    <xf numFmtId="0" fontId="6" fillId="0" borderId="0" xfId="0" applyFont="1"/>
    <xf numFmtId="0" fontId="5" fillId="0" borderId="0" xfId="0" applyFont="1"/>
    <xf numFmtId="0" fontId="3" fillId="0" borderId="5" xfId="0" applyFont="1" applyBorder="1"/>
    <xf numFmtId="0" fontId="3" fillId="0" borderId="7" xfId="0" applyFont="1" applyBorder="1"/>
    <xf numFmtId="0" fontId="1" fillId="3" borderId="12" xfId="0" applyFont="1" applyFill="1" applyBorder="1" applyAlignment="1">
      <alignment horizontal="center"/>
    </xf>
    <xf numFmtId="0" fontId="1" fillId="3" borderId="13" xfId="0" applyFont="1" applyFill="1" applyBorder="1"/>
    <xf numFmtId="0" fontId="3" fillId="0" borderId="14" xfId="0" applyFont="1" applyBorder="1"/>
    <xf numFmtId="0" fontId="3" fillId="2" borderId="15" xfId="0" applyFont="1" applyFill="1" applyBorder="1"/>
    <xf numFmtId="0" fontId="3" fillId="0" borderId="15" xfId="0" applyFont="1" applyBorder="1"/>
    <xf numFmtId="0" fontId="3" fillId="0" borderId="16" xfId="0" applyFont="1" applyBorder="1"/>
    <xf numFmtId="0" fontId="2" fillId="3" borderId="17" xfId="0" applyFont="1" applyFill="1" applyBorder="1"/>
    <xf numFmtId="0" fontId="0" fillId="3" borderId="18" xfId="0" applyFill="1" applyBorder="1"/>
    <xf numFmtId="0" fontId="2" fillId="3" borderId="11" xfId="0" applyFont="1" applyFill="1" applyBorder="1"/>
    <xf numFmtId="0" fontId="0" fillId="3" borderId="19" xfId="0" applyFill="1" applyBorder="1"/>
    <xf numFmtId="0" fontId="3" fillId="0" borderId="22" xfId="0" applyFont="1" applyBorder="1"/>
    <xf numFmtId="0" fontId="0" fillId="0" borderId="24" xfId="0" applyBorder="1"/>
    <xf numFmtId="0" fontId="3" fillId="0" borderId="0" xfId="0" applyFont="1"/>
    <xf numFmtId="0" fontId="3" fillId="0" borderId="25" xfId="0" applyFont="1" applyBorder="1"/>
    <xf numFmtId="0" fontId="3" fillId="2" borderId="25" xfId="0" applyFont="1" applyFill="1" applyBorder="1"/>
    <xf numFmtId="0" fontId="5" fillId="2" borderId="25" xfId="0" applyFont="1" applyFill="1" applyBorder="1"/>
    <xf numFmtId="0" fontId="3" fillId="0" borderId="0" xfId="0" applyFont="1" applyBorder="1"/>
    <xf numFmtId="0" fontId="5" fillId="4" borderId="26" xfId="0" applyFont="1" applyFill="1" applyBorder="1"/>
    <xf numFmtId="3" fontId="3" fillId="0" borderId="6" xfId="0" applyNumberFormat="1" applyFont="1" applyBorder="1"/>
    <xf numFmtId="49" fontId="0" fillId="0" borderId="0" xfId="0" applyNumberFormat="1"/>
    <xf numFmtId="0" fontId="5" fillId="2" borderId="17" xfId="0" applyFont="1" applyFill="1" applyBorder="1"/>
    <xf numFmtId="0" fontId="5" fillId="2" borderId="27" xfId="0" applyFont="1" applyFill="1" applyBorder="1"/>
    <xf numFmtId="3" fontId="5" fillId="2" borderId="28" xfId="0" applyNumberFormat="1" applyFont="1" applyFill="1" applyBorder="1"/>
    <xf numFmtId="0" fontId="5" fillId="2" borderId="29" xfId="0" applyFont="1" applyFill="1" applyBorder="1"/>
    <xf numFmtId="0" fontId="5" fillId="2" borderId="10" xfId="0" applyFont="1" applyFill="1" applyBorder="1"/>
    <xf numFmtId="0" fontId="0" fillId="0" borderId="25" xfId="0" applyBorder="1"/>
    <xf numFmtId="0" fontId="7" fillId="3" borderId="0" xfId="0" applyFont="1" applyFill="1"/>
    <xf numFmtId="0" fontId="9" fillId="3" borderId="0" xfId="0" applyFont="1" applyFill="1"/>
    <xf numFmtId="0" fontId="9" fillId="0" borderId="0" xfId="0" applyFont="1"/>
    <xf numFmtId="0" fontId="1" fillId="3" borderId="13" xfId="0" applyFont="1" applyFill="1" applyBorder="1" applyAlignment="1">
      <alignment horizontal="center"/>
    </xf>
    <xf numFmtId="0" fontId="0" fillId="0" borderId="33" xfId="0" applyBorder="1"/>
    <xf numFmtId="0" fontId="0" fillId="0" borderId="34" xfId="0" applyBorder="1"/>
    <xf numFmtId="0" fontId="5" fillId="0" borderId="30" xfId="0" applyFont="1" applyBorder="1"/>
    <xf numFmtId="0" fontId="0" fillId="0" borderId="31" xfId="0" applyBorder="1"/>
    <xf numFmtId="0" fontId="0" fillId="0" borderId="15" xfId="0" applyFont="1" applyBorder="1"/>
    <xf numFmtId="0" fontId="0" fillId="0" borderId="14" xfId="0" applyFont="1" applyBorder="1"/>
    <xf numFmtId="0" fontId="0" fillId="0" borderId="20" xfId="0" applyFont="1" applyBorder="1"/>
    <xf numFmtId="0" fontId="0" fillId="2" borderId="15" xfId="0" applyFont="1" applyFill="1" applyBorder="1"/>
    <xf numFmtId="0" fontId="0" fillId="2" borderId="21" xfId="0" applyFont="1" applyFill="1" applyBorder="1"/>
    <xf numFmtId="0" fontId="0" fillId="0" borderId="21" xfId="0" applyFont="1" applyBorder="1"/>
    <xf numFmtId="0" fontId="0" fillId="0" borderId="16" xfId="0" applyFont="1" applyBorder="1"/>
    <xf numFmtId="0" fontId="1" fillId="2" borderId="1" xfId="0" applyFont="1" applyFill="1" applyBorder="1"/>
    <xf numFmtId="0" fontId="1" fillId="3" borderId="19" xfId="0" applyFont="1" applyFill="1" applyBorder="1" applyAlignment="1">
      <alignment horizontal="center" vertical="center"/>
    </xf>
    <xf numFmtId="0" fontId="3" fillId="2" borderId="25" xfId="0" applyFont="1" applyFill="1" applyBorder="1" applyAlignment="1">
      <alignment wrapText="1"/>
    </xf>
    <xf numFmtId="0" fontId="2" fillId="3" borderId="17" xfId="0" applyFont="1" applyFill="1" applyBorder="1" applyAlignment="1">
      <alignment horizontal="center"/>
    </xf>
    <xf numFmtId="0" fontId="2" fillId="3" borderId="18" xfId="0" applyFont="1" applyFill="1" applyBorder="1" applyAlignment="1">
      <alignment horizontal="center"/>
    </xf>
    <xf numFmtId="0" fontId="10" fillId="3" borderId="18" xfId="0" applyFont="1" applyFill="1" applyBorder="1" applyAlignment="1">
      <alignment horizontal="center"/>
    </xf>
    <xf numFmtId="0" fontId="10" fillId="3" borderId="12" xfId="0" applyFont="1" applyFill="1" applyBorder="1" applyAlignment="1">
      <alignment horizontal="center"/>
    </xf>
    <xf numFmtId="3" fontId="1" fillId="2" borderId="8" xfId="0" applyNumberFormat="1" applyFont="1" applyFill="1" applyBorder="1"/>
    <xf numFmtId="3" fontId="1" fillId="2" borderId="9" xfId="0" applyNumberFormat="1" applyFont="1" applyFill="1" applyBorder="1"/>
    <xf numFmtId="3" fontId="0" fillId="0" borderId="20" xfId="0" applyNumberFormat="1" applyFont="1" applyBorder="1"/>
    <xf numFmtId="3" fontId="0" fillId="2" borderId="21" xfId="0" applyNumberFormat="1" applyFont="1" applyFill="1" applyBorder="1"/>
    <xf numFmtId="3" fontId="0" fillId="0" borderId="21" xfId="0" applyNumberFormat="1" applyFont="1" applyBorder="1"/>
    <xf numFmtId="3" fontId="0" fillId="0" borderId="22" xfId="0" applyNumberFormat="1" applyFont="1" applyBorder="1"/>
    <xf numFmtId="3" fontId="0" fillId="0" borderId="6" xfId="0" applyNumberFormat="1" applyFont="1" applyBorder="1"/>
    <xf numFmtId="3" fontId="0" fillId="0" borderId="7" xfId="0" applyNumberFormat="1" applyFont="1" applyBorder="1"/>
    <xf numFmtId="3" fontId="1" fillId="2" borderId="23" xfId="0" applyNumberFormat="1" applyFont="1" applyFill="1" applyBorder="1"/>
    <xf numFmtId="3" fontId="11" fillId="0" borderId="2" xfId="0" applyNumberFormat="1" applyFont="1" applyBorder="1"/>
    <xf numFmtId="3" fontId="11" fillId="0" borderId="3" xfId="0" applyNumberFormat="1" applyFont="1" applyBorder="1"/>
    <xf numFmtId="3" fontId="11" fillId="2" borderId="4" xfId="0" applyNumberFormat="1" applyFont="1" applyFill="1" applyBorder="1"/>
    <xf numFmtId="3" fontId="11" fillId="2" borderId="5" xfId="0" applyNumberFormat="1" applyFont="1" applyFill="1" applyBorder="1"/>
    <xf numFmtId="3" fontId="11" fillId="0" borderId="4" xfId="0" applyNumberFormat="1" applyFont="1" applyBorder="1"/>
    <xf numFmtId="3" fontId="11" fillId="0" borderId="5" xfId="0" applyNumberFormat="1" applyFont="1" applyBorder="1"/>
    <xf numFmtId="0" fontId="12" fillId="0" borderId="0" xfId="0" applyFont="1" applyFill="1"/>
    <xf numFmtId="164" fontId="12" fillId="0" borderId="25" xfId="1" applyNumberFormat="1" applyFont="1" applyBorder="1"/>
    <xf numFmtId="2" fontId="12" fillId="0" borderId="25" xfId="0" applyNumberFormat="1" applyFont="1" applyBorder="1"/>
    <xf numFmtId="0" fontId="12" fillId="0" borderId="25" xfId="0" applyFont="1" applyBorder="1"/>
    <xf numFmtId="164" fontId="12" fillId="2" borderId="25" xfId="1" applyNumberFormat="1" applyFont="1" applyFill="1" applyBorder="1"/>
    <xf numFmtId="2" fontId="12" fillId="2" borderId="25" xfId="0" applyNumberFormat="1" applyFont="1" applyFill="1" applyBorder="1"/>
    <xf numFmtId="0" fontId="12" fillId="2" borderId="25" xfId="0" applyFont="1" applyFill="1" applyBorder="1"/>
    <xf numFmtId="3" fontId="12" fillId="0" borderId="2" xfId="0" applyNumberFormat="1" applyFont="1" applyBorder="1"/>
    <xf numFmtId="0" fontId="12" fillId="0" borderId="3" xfId="0" applyFont="1" applyBorder="1"/>
    <xf numFmtId="3" fontId="12" fillId="2" borderId="4" xfId="0" applyNumberFormat="1" applyFont="1" applyFill="1" applyBorder="1"/>
    <xf numFmtId="0" fontId="12" fillId="2" borderId="5" xfId="0" applyFont="1" applyFill="1" applyBorder="1"/>
    <xf numFmtId="3" fontId="12" fillId="0" borderId="4" xfId="0" applyNumberFormat="1" applyFont="1" applyBorder="1"/>
    <xf numFmtId="0" fontId="12" fillId="0" borderId="5" xfId="0" applyFont="1" applyBorder="1"/>
    <xf numFmtId="49" fontId="13" fillId="0" borderId="14" xfId="0" applyNumberFormat="1" applyFont="1" applyBorder="1" applyAlignment="1">
      <alignment horizontal="center"/>
    </xf>
    <xf numFmtId="49" fontId="13" fillId="2" borderId="15" xfId="0" applyNumberFormat="1" applyFont="1" applyFill="1" applyBorder="1" applyAlignment="1">
      <alignment horizontal="center"/>
    </xf>
    <xf numFmtId="49" fontId="13" fillId="0" borderId="15" xfId="0" applyNumberFormat="1"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165" fontId="11" fillId="0" borderId="32" xfId="0" applyNumberFormat="1" applyFont="1" applyBorder="1" applyAlignment="1">
      <alignment horizontal="right" wrapText="1"/>
    </xf>
    <xf numFmtId="165" fontId="11" fillId="0" borderId="35" xfId="0" applyNumberFormat="1" applyFont="1" applyBorder="1" applyAlignment="1">
      <alignment wrapText="1"/>
    </xf>
    <xf numFmtId="49" fontId="4" fillId="0" borderId="0" xfId="0" applyNumberFormat="1" applyFont="1" applyAlignment="1">
      <alignment vertical="top" wrapText="1"/>
    </xf>
    <xf numFmtId="49" fontId="0" fillId="0" borderId="0" xfId="0" applyNumberFormat="1" applyAlignment="1">
      <alignment vertical="top" wrapText="1"/>
    </xf>
    <xf numFmtId="165" fontId="11" fillId="0" borderId="31" xfId="0" applyNumberFormat="1" applyFont="1" applyBorder="1" applyAlignment="1">
      <alignment horizontal="right" wrapText="1"/>
    </xf>
    <xf numFmtId="165" fontId="11" fillId="0" borderId="34" xfId="0" applyNumberFormat="1" applyFont="1" applyBorder="1" applyAlignment="1">
      <alignment wrapText="1"/>
    </xf>
    <xf numFmtId="0" fontId="0" fillId="0" borderId="0" xfId="0" applyAlignment="1">
      <alignment horizontal="left" wrapText="1"/>
    </xf>
  </cellXfs>
  <cellStyles count="2">
    <cellStyle name="Komma" xfId="1" builtinId="3"/>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N24"/>
  <sheetViews>
    <sheetView view="pageLayout" zoomScale="85" zoomScaleNormal="85" zoomScalePageLayoutView="85" workbookViewId="0">
      <selection activeCell="L4" sqref="L4"/>
    </sheetView>
  </sheetViews>
  <sheetFormatPr baseColWidth="10" defaultRowHeight="12.75" x14ac:dyDescent="0.2"/>
  <cols>
    <col min="1" max="1" width="15" customWidth="1"/>
    <col min="2" max="14" width="8.85546875" customWidth="1"/>
  </cols>
  <sheetData>
    <row r="2" spans="1:14" s="34" customFormat="1" ht="20.25" x14ac:dyDescent="0.3">
      <c r="A2" s="32" t="s">
        <v>42</v>
      </c>
      <c r="B2" s="33"/>
      <c r="C2" s="33"/>
      <c r="D2" s="33"/>
      <c r="E2" s="33"/>
      <c r="F2" s="33"/>
      <c r="G2" s="33"/>
      <c r="H2" s="33"/>
      <c r="I2" s="33"/>
      <c r="J2" s="33"/>
      <c r="K2" s="33"/>
      <c r="L2" s="33"/>
      <c r="M2" s="33"/>
      <c r="N2" s="33"/>
    </row>
    <row r="3" spans="1:14" s="34" customFormat="1" ht="20.25" x14ac:dyDescent="0.3"/>
    <row r="4" spans="1:14" s="3" customFormat="1" ht="18" x14ac:dyDescent="0.25">
      <c r="A4" s="2" t="s">
        <v>19</v>
      </c>
    </row>
    <row r="6" spans="1:14" ht="14.25" x14ac:dyDescent="0.2">
      <c r="A6" s="1" t="s">
        <v>17</v>
      </c>
    </row>
    <row r="7" spans="1:14" ht="14.25" x14ac:dyDescent="0.2">
      <c r="A7" s="1" t="s">
        <v>34</v>
      </c>
    </row>
    <row r="8" spans="1:14" ht="13.5" thickBot="1" x14ac:dyDescent="0.25"/>
    <row r="9" spans="1:14" ht="15" x14ac:dyDescent="0.25">
      <c r="A9" s="12" t="s">
        <v>0</v>
      </c>
      <c r="B9" s="14" t="s">
        <v>2</v>
      </c>
      <c r="C9" s="85" t="s">
        <v>3</v>
      </c>
      <c r="D9" s="86"/>
      <c r="E9" s="85" t="s">
        <v>38</v>
      </c>
      <c r="F9" s="86"/>
      <c r="G9" s="85" t="s">
        <v>33</v>
      </c>
      <c r="H9" s="86"/>
      <c r="I9" s="85" t="s">
        <v>4</v>
      </c>
      <c r="J9" s="86"/>
      <c r="K9" s="85" t="s">
        <v>37</v>
      </c>
      <c r="L9" s="86"/>
      <c r="M9" s="85" t="s">
        <v>43</v>
      </c>
      <c r="N9" s="86"/>
    </row>
    <row r="10" spans="1:14" ht="13.5" thickBot="1" x14ac:dyDescent="0.25">
      <c r="A10" s="13"/>
      <c r="B10" s="15"/>
      <c r="C10" s="52" t="s">
        <v>1</v>
      </c>
      <c r="D10" s="48" t="s">
        <v>32</v>
      </c>
      <c r="E10" s="53" t="s">
        <v>1</v>
      </c>
      <c r="F10" s="35" t="s">
        <v>32</v>
      </c>
      <c r="G10" s="53" t="s">
        <v>1</v>
      </c>
      <c r="H10" s="35" t="s">
        <v>32</v>
      </c>
      <c r="I10" s="53" t="s">
        <v>1</v>
      </c>
      <c r="J10" s="35" t="s">
        <v>32</v>
      </c>
      <c r="K10" s="53" t="s">
        <v>1</v>
      </c>
      <c r="L10" s="35" t="s">
        <v>32</v>
      </c>
      <c r="M10" s="53" t="s">
        <v>1</v>
      </c>
      <c r="N10" s="35" t="s">
        <v>32</v>
      </c>
    </row>
    <row r="11" spans="1:14" ht="13.5" thickBot="1" x14ac:dyDescent="0.25">
      <c r="A11" s="17"/>
    </row>
    <row r="12" spans="1:14" ht="25.15" customHeight="1" x14ac:dyDescent="0.2">
      <c r="A12" s="41" t="s">
        <v>5</v>
      </c>
      <c r="B12" s="56">
        <v>5</v>
      </c>
      <c r="C12" s="63">
        <v>3216</v>
      </c>
      <c r="D12" s="64">
        <v>643</v>
      </c>
      <c r="E12" s="63">
        <v>635</v>
      </c>
      <c r="F12" s="64">
        <v>127</v>
      </c>
      <c r="G12" s="63">
        <v>913</v>
      </c>
      <c r="H12" s="64">
        <v>183</v>
      </c>
      <c r="I12" s="63">
        <v>1869</v>
      </c>
      <c r="J12" s="64">
        <v>374</v>
      </c>
      <c r="K12" s="63">
        <v>1384</v>
      </c>
      <c r="L12" s="64">
        <v>277</v>
      </c>
      <c r="M12" s="63">
        <v>337</v>
      </c>
      <c r="N12" s="64">
        <v>67</v>
      </c>
    </row>
    <row r="13" spans="1:14" ht="25.15" customHeight="1" x14ac:dyDescent="0.2">
      <c r="A13" s="43" t="s">
        <v>6</v>
      </c>
      <c r="B13" s="57">
        <v>7</v>
      </c>
      <c r="C13" s="65">
        <v>2471</v>
      </c>
      <c r="D13" s="66">
        <v>353</v>
      </c>
      <c r="E13" s="65">
        <v>1560</v>
      </c>
      <c r="F13" s="66">
        <v>223</v>
      </c>
      <c r="G13" s="65">
        <v>1236</v>
      </c>
      <c r="H13" s="66">
        <v>177</v>
      </c>
      <c r="I13" s="65">
        <v>3868</v>
      </c>
      <c r="J13" s="66">
        <v>553</v>
      </c>
      <c r="K13" s="65">
        <v>4380</v>
      </c>
      <c r="L13" s="66">
        <v>626</v>
      </c>
      <c r="M13" s="65">
        <v>381</v>
      </c>
      <c r="N13" s="66">
        <v>54</v>
      </c>
    </row>
    <row r="14" spans="1:14" ht="25.15" customHeight="1" x14ac:dyDescent="0.2">
      <c r="A14" s="40" t="s">
        <v>7</v>
      </c>
      <c r="B14" s="58">
        <v>3</v>
      </c>
      <c r="C14" s="67">
        <v>341</v>
      </c>
      <c r="D14" s="68">
        <v>114</v>
      </c>
      <c r="E14" s="67">
        <v>66</v>
      </c>
      <c r="F14" s="68">
        <v>22</v>
      </c>
      <c r="G14" s="67">
        <v>167</v>
      </c>
      <c r="H14" s="68">
        <v>56</v>
      </c>
      <c r="I14" s="67">
        <v>1195</v>
      </c>
      <c r="J14" s="68">
        <v>398</v>
      </c>
      <c r="K14" s="67">
        <v>712</v>
      </c>
      <c r="L14" s="68">
        <v>237</v>
      </c>
      <c r="M14" s="67">
        <v>134</v>
      </c>
      <c r="N14" s="68">
        <v>45</v>
      </c>
    </row>
    <row r="15" spans="1:14" ht="25.15" customHeight="1" x14ac:dyDescent="0.2">
      <c r="A15" s="43" t="s">
        <v>8</v>
      </c>
      <c r="B15" s="57">
        <v>2</v>
      </c>
      <c r="C15" s="65">
        <v>176</v>
      </c>
      <c r="D15" s="66">
        <v>88</v>
      </c>
      <c r="E15" s="65">
        <v>102</v>
      </c>
      <c r="F15" s="66">
        <v>51</v>
      </c>
      <c r="G15" s="65">
        <v>54</v>
      </c>
      <c r="H15" s="66">
        <v>27</v>
      </c>
      <c r="I15" s="65">
        <v>388</v>
      </c>
      <c r="J15" s="66">
        <v>194</v>
      </c>
      <c r="K15" s="65">
        <v>340</v>
      </c>
      <c r="L15" s="66">
        <v>170</v>
      </c>
      <c r="M15" s="65">
        <v>28</v>
      </c>
      <c r="N15" s="66">
        <v>14</v>
      </c>
    </row>
    <row r="16" spans="1:14" ht="25.15" customHeight="1" x14ac:dyDescent="0.2">
      <c r="A16" s="40" t="s">
        <v>9</v>
      </c>
      <c r="B16" s="58">
        <v>7</v>
      </c>
      <c r="C16" s="67">
        <v>2355</v>
      </c>
      <c r="D16" s="68">
        <v>336</v>
      </c>
      <c r="E16" s="67">
        <v>1297</v>
      </c>
      <c r="F16" s="68">
        <v>185</v>
      </c>
      <c r="G16" s="67">
        <v>1036</v>
      </c>
      <c r="H16" s="68">
        <v>148</v>
      </c>
      <c r="I16" s="67">
        <v>2328</v>
      </c>
      <c r="J16" s="68">
        <v>333</v>
      </c>
      <c r="K16" s="67">
        <v>3625</v>
      </c>
      <c r="L16" s="68">
        <v>518</v>
      </c>
      <c r="M16" s="67">
        <v>314</v>
      </c>
      <c r="N16" s="68">
        <v>45</v>
      </c>
    </row>
    <row r="17" spans="1:14" ht="25.15" customHeight="1" x14ac:dyDescent="0.2">
      <c r="A17" s="43" t="s">
        <v>10</v>
      </c>
      <c r="B17" s="57">
        <v>3</v>
      </c>
      <c r="C17" s="65">
        <v>263</v>
      </c>
      <c r="D17" s="66">
        <v>88</v>
      </c>
      <c r="E17" s="65">
        <v>180</v>
      </c>
      <c r="F17" s="66">
        <v>60</v>
      </c>
      <c r="G17" s="65">
        <v>351</v>
      </c>
      <c r="H17" s="66">
        <v>117</v>
      </c>
      <c r="I17" s="65">
        <v>1090</v>
      </c>
      <c r="J17" s="66">
        <v>363</v>
      </c>
      <c r="K17" s="65">
        <v>777</v>
      </c>
      <c r="L17" s="66">
        <v>259</v>
      </c>
      <c r="M17" s="65">
        <v>63</v>
      </c>
      <c r="N17" s="66">
        <v>21</v>
      </c>
    </row>
    <row r="18" spans="1:14" ht="25.15" customHeight="1" x14ac:dyDescent="0.2">
      <c r="A18" s="40" t="s">
        <v>11</v>
      </c>
      <c r="B18" s="58">
        <v>8</v>
      </c>
      <c r="C18" s="67">
        <v>7081</v>
      </c>
      <c r="D18" s="68">
        <v>885</v>
      </c>
      <c r="E18" s="67">
        <v>1501</v>
      </c>
      <c r="F18" s="68">
        <v>188</v>
      </c>
      <c r="G18" s="67">
        <v>748</v>
      </c>
      <c r="H18" s="68">
        <v>94</v>
      </c>
      <c r="I18" s="67">
        <v>3655</v>
      </c>
      <c r="J18" s="68">
        <v>457</v>
      </c>
      <c r="K18" s="67">
        <v>2746</v>
      </c>
      <c r="L18" s="68">
        <v>343</v>
      </c>
      <c r="M18" s="67">
        <v>602</v>
      </c>
      <c r="N18" s="68">
        <v>75</v>
      </c>
    </row>
    <row r="19" spans="1:14" ht="25.15" customHeight="1" x14ac:dyDescent="0.2">
      <c r="A19" s="43" t="s">
        <v>12</v>
      </c>
      <c r="B19" s="57">
        <v>4</v>
      </c>
      <c r="C19" s="65">
        <v>1015</v>
      </c>
      <c r="D19" s="66">
        <v>254</v>
      </c>
      <c r="E19" s="65">
        <v>443</v>
      </c>
      <c r="F19" s="66">
        <v>111</v>
      </c>
      <c r="G19" s="65">
        <v>467</v>
      </c>
      <c r="H19" s="66">
        <v>117</v>
      </c>
      <c r="I19" s="65">
        <v>1327</v>
      </c>
      <c r="J19" s="66">
        <v>332</v>
      </c>
      <c r="K19" s="65">
        <v>2497</v>
      </c>
      <c r="L19" s="66">
        <v>624</v>
      </c>
      <c r="M19" s="65">
        <v>0</v>
      </c>
      <c r="N19" s="66">
        <v>0</v>
      </c>
    </row>
    <row r="20" spans="1:14" ht="25.15" customHeight="1" x14ac:dyDescent="0.2">
      <c r="A20" s="40" t="s">
        <v>13</v>
      </c>
      <c r="B20" s="58">
        <v>11</v>
      </c>
      <c r="C20" s="67">
        <v>7397</v>
      </c>
      <c r="D20" s="68">
        <v>672</v>
      </c>
      <c r="E20" s="67">
        <v>4054</v>
      </c>
      <c r="F20" s="68">
        <v>369</v>
      </c>
      <c r="G20" s="67">
        <v>4711</v>
      </c>
      <c r="H20" s="68">
        <v>428</v>
      </c>
      <c r="I20" s="67">
        <v>8520</v>
      </c>
      <c r="J20" s="68">
        <v>775</v>
      </c>
      <c r="K20" s="67">
        <v>6349</v>
      </c>
      <c r="L20" s="68">
        <v>577</v>
      </c>
      <c r="M20" s="67">
        <v>3926</v>
      </c>
      <c r="N20" s="68">
        <v>357</v>
      </c>
    </row>
    <row r="21" spans="1:14" ht="25.15" customHeight="1" x14ac:dyDescent="0.2">
      <c r="A21" s="43" t="s">
        <v>14</v>
      </c>
      <c r="B21" s="57">
        <v>7</v>
      </c>
      <c r="C21" s="65">
        <v>3235</v>
      </c>
      <c r="D21" s="66">
        <v>462</v>
      </c>
      <c r="E21" s="65">
        <v>983</v>
      </c>
      <c r="F21" s="66">
        <v>140</v>
      </c>
      <c r="G21" s="65">
        <v>807</v>
      </c>
      <c r="H21" s="66">
        <v>115</v>
      </c>
      <c r="I21" s="65">
        <v>3732</v>
      </c>
      <c r="J21" s="66">
        <v>533</v>
      </c>
      <c r="K21" s="65">
        <v>2303</v>
      </c>
      <c r="L21" s="66">
        <v>329</v>
      </c>
      <c r="M21" s="65">
        <v>461</v>
      </c>
      <c r="N21" s="66">
        <v>66</v>
      </c>
    </row>
    <row r="22" spans="1:14" ht="25.15" customHeight="1" x14ac:dyDescent="0.2">
      <c r="A22" s="40" t="s">
        <v>15</v>
      </c>
      <c r="B22" s="58">
        <v>3</v>
      </c>
      <c r="C22" s="67">
        <v>529</v>
      </c>
      <c r="D22" s="68">
        <v>176</v>
      </c>
      <c r="E22" s="67">
        <v>106</v>
      </c>
      <c r="F22" s="68">
        <v>35</v>
      </c>
      <c r="G22" s="67">
        <v>130</v>
      </c>
      <c r="H22" s="68">
        <v>43</v>
      </c>
      <c r="I22" s="67">
        <v>1061</v>
      </c>
      <c r="J22" s="68">
        <v>354</v>
      </c>
      <c r="K22" s="67">
        <v>824</v>
      </c>
      <c r="L22" s="68">
        <v>275</v>
      </c>
      <c r="M22" s="67">
        <v>0</v>
      </c>
      <c r="N22" s="68">
        <v>0</v>
      </c>
    </row>
    <row r="23" spans="1:14" ht="25.15" customHeight="1" thickBot="1" x14ac:dyDescent="0.25">
      <c r="A23" s="46"/>
      <c r="B23" s="59"/>
      <c r="C23" s="60"/>
      <c r="D23" s="61"/>
      <c r="E23" s="60"/>
      <c r="F23" s="61"/>
      <c r="G23" s="60"/>
      <c r="H23" s="61"/>
      <c r="I23" s="60"/>
      <c r="J23" s="61"/>
      <c r="K23" s="60"/>
      <c r="L23" s="61"/>
      <c r="M23" s="60"/>
      <c r="N23" s="61"/>
    </row>
    <row r="24" spans="1:14" ht="25.15" customHeight="1" thickBot="1" x14ac:dyDescent="0.25">
      <c r="A24" s="47" t="s">
        <v>16</v>
      </c>
      <c r="B24" s="62">
        <f t="shared" ref="B24:L24" si="0">SUM(B12:B23)</f>
        <v>60</v>
      </c>
      <c r="C24" s="54">
        <f t="shared" si="0"/>
        <v>28079</v>
      </c>
      <c r="D24" s="55">
        <f t="shared" si="0"/>
        <v>4071</v>
      </c>
      <c r="E24" s="54">
        <f t="shared" si="0"/>
        <v>10927</v>
      </c>
      <c r="F24" s="55">
        <f t="shared" si="0"/>
        <v>1511</v>
      </c>
      <c r="G24" s="54">
        <f t="shared" si="0"/>
        <v>10620</v>
      </c>
      <c r="H24" s="55">
        <f t="shared" si="0"/>
        <v>1505</v>
      </c>
      <c r="I24" s="54">
        <f t="shared" si="0"/>
        <v>29033</v>
      </c>
      <c r="J24" s="55">
        <f t="shared" si="0"/>
        <v>4666</v>
      </c>
      <c r="K24" s="54">
        <f t="shared" si="0"/>
        <v>25937</v>
      </c>
      <c r="L24" s="55">
        <f t="shared" si="0"/>
        <v>4235</v>
      </c>
      <c r="M24" s="54">
        <f t="shared" ref="M24:N24" si="1">SUM(M12:M23)</f>
        <v>6246</v>
      </c>
      <c r="N24" s="55">
        <f t="shared" si="1"/>
        <v>744</v>
      </c>
    </row>
  </sheetData>
  <mergeCells count="6">
    <mergeCell ref="M9:N9"/>
    <mergeCell ref="C9:D9"/>
    <mergeCell ref="E9:F9"/>
    <mergeCell ref="G9:H9"/>
    <mergeCell ref="I9:J9"/>
    <mergeCell ref="K9:L9"/>
  </mergeCells>
  <pageMargins left="0.70866141732283472" right="0.70866141732283472" top="0.78740157480314965" bottom="0.78740157480314965" header="0.31496062992125984" footer="0.31496062992125984"/>
  <pageSetup paperSize="9" orientation="landscape" r:id="rId1"/>
  <headerFooter>
    <oddHeader>&amp;LWahlergebnis der Landratswahlen vom 8. März 2026</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F16"/>
  <sheetViews>
    <sheetView view="pageLayout" zoomScale="85" zoomScaleNormal="100" zoomScalePageLayoutView="85" workbookViewId="0">
      <selection activeCell="G18" sqref="G18"/>
    </sheetView>
  </sheetViews>
  <sheetFormatPr baseColWidth="10" defaultRowHeight="12.75" x14ac:dyDescent="0.2"/>
  <cols>
    <col min="1" max="1" width="34.42578125" customWidth="1"/>
    <col min="2" max="2" width="13.7109375" customWidth="1"/>
    <col min="3" max="3" width="14.28515625" customWidth="1"/>
    <col min="4" max="4" width="13.7109375" customWidth="1"/>
    <col min="5" max="5" width="15.28515625" customWidth="1"/>
  </cols>
  <sheetData>
    <row r="3" spans="1:6" s="2" customFormat="1" ht="18" x14ac:dyDescent="0.25">
      <c r="A3" s="2" t="s">
        <v>20</v>
      </c>
    </row>
    <row r="5" spans="1:6" s="18" customFormat="1" ht="15" x14ac:dyDescent="0.2">
      <c r="A5" s="1" t="s">
        <v>26</v>
      </c>
    </row>
    <row r="6" spans="1:6" s="18" customFormat="1" ht="15" x14ac:dyDescent="0.2">
      <c r="A6" s="1"/>
    </row>
    <row r="7" spans="1:6" ht="20.100000000000001" customHeight="1" x14ac:dyDescent="0.25">
      <c r="A7" s="18" t="s">
        <v>24</v>
      </c>
      <c r="B7" s="3">
        <v>60</v>
      </c>
      <c r="C7" s="18"/>
      <c r="D7" s="18"/>
    </row>
    <row r="8" spans="1:6" ht="20.100000000000001" customHeight="1" x14ac:dyDescent="0.2">
      <c r="A8" s="18" t="s">
        <v>23</v>
      </c>
      <c r="B8" s="69">
        <v>278.87</v>
      </c>
      <c r="C8" s="18"/>
      <c r="D8" s="18"/>
    </row>
    <row r="9" spans="1:6" ht="20.100000000000001" customHeight="1" x14ac:dyDescent="0.2">
      <c r="A9" s="18"/>
      <c r="B9" s="18"/>
      <c r="C9" s="18"/>
      <c r="D9" s="18"/>
      <c r="E9" s="18"/>
      <c r="F9" s="18"/>
    </row>
    <row r="10" spans="1:6" ht="20.100000000000001" customHeight="1" x14ac:dyDescent="0.25">
      <c r="A10" s="21" t="s">
        <v>21</v>
      </c>
      <c r="B10" s="21" t="s">
        <v>1</v>
      </c>
      <c r="C10" s="21" t="s">
        <v>18</v>
      </c>
      <c r="D10" s="21" t="s">
        <v>22</v>
      </c>
      <c r="E10" s="21" t="s">
        <v>25</v>
      </c>
      <c r="F10" s="18"/>
    </row>
    <row r="11" spans="1:6" ht="19.5" customHeight="1" x14ac:dyDescent="0.2">
      <c r="A11" s="19" t="s">
        <v>36</v>
      </c>
      <c r="B11" s="70">
        <v>28079</v>
      </c>
      <c r="C11" s="70">
        <v>4071</v>
      </c>
      <c r="D11" s="71">
        <v>14.6</v>
      </c>
      <c r="E11" s="72">
        <v>15</v>
      </c>
      <c r="F11" s="18"/>
    </row>
    <row r="12" spans="1:6" ht="19.5" customHeight="1" x14ac:dyDescent="0.2">
      <c r="A12" s="49" t="s">
        <v>44</v>
      </c>
      <c r="B12" s="73">
        <v>10927</v>
      </c>
      <c r="C12" s="73">
        <v>1511</v>
      </c>
      <c r="D12" s="74">
        <v>5.42</v>
      </c>
      <c r="E12" s="75">
        <v>5</v>
      </c>
      <c r="F12" s="18"/>
    </row>
    <row r="13" spans="1:6" ht="19.5" customHeight="1" x14ac:dyDescent="0.2">
      <c r="A13" s="19" t="s">
        <v>35</v>
      </c>
      <c r="B13" s="70">
        <v>10620</v>
      </c>
      <c r="C13" s="70">
        <v>1505</v>
      </c>
      <c r="D13" s="71">
        <v>5.4</v>
      </c>
      <c r="E13" s="72">
        <v>5</v>
      </c>
      <c r="F13" s="18"/>
    </row>
    <row r="14" spans="1:6" ht="19.5" customHeight="1" x14ac:dyDescent="0.2">
      <c r="A14" s="20" t="s">
        <v>45</v>
      </c>
      <c r="B14" s="73">
        <v>29033</v>
      </c>
      <c r="C14" s="73">
        <v>4666</v>
      </c>
      <c r="D14" s="74">
        <v>16.73</v>
      </c>
      <c r="E14" s="75">
        <v>17</v>
      </c>
      <c r="F14" s="18"/>
    </row>
    <row r="15" spans="1:6" ht="19.5" customHeight="1" x14ac:dyDescent="0.2">
      <c r="A15" s="19" t="s">
        <v>46</v>
      </c>
      <c r="B15" s="70">
        <v>25937</v>
      </c>
      <c r="C15" s="70">
        <v>4235</v>
      </c>
      <c r="D15" s="71">
        <v>15.19</v>
      </c>
      <c r="E15" s="72">
        <v>15</v>
      </c>
      <c r="F15" s="18"/>
    </row>
    <row r="16" spans="1:6" ht="19.5" customHeight="1" x14ac:dyDescent="0.2">
      <c r="A16" s="20" t="s">
        <v>47</v>
      </c>
      <c r="B16" s="73">
        <v>6246</v>
      </c>
      <c r="C16" s="73">
        <v>744</v>
      </c>
      <c r="D16" s="74">
        <v>2.67</v>
      </c>
      <c r="E16" s="75">
        <v>3</v>
      </c>
    </row>
  </sheetData>
  <pageMargins left="0.7" right="0.7" top="0.78740157499999996" bottom="0.78740157499999996" header="0.3" footer="0.3"/>
  <pageSetup paperSize="9" orientation="landscape" r:id="rId1"/>
  <headerFooter>
    <oddHeader>&amp;LWahlergebnis der Landratswahlen vom 8. März 2026</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3:O30"/>
  <sheetViews>
    <sheetView tabSelected="1" view="pageLayout" zoomScale="85" zoomScaleNormal="85" zoomScalePageLayoutView="85" workbookViewId="0">
      <selection activeCell="I5" sqref="I5"/>
    </sheetView>
  </sheetViews>
  <sheetFormatPr baseColWidth="10" defaultRowHeight="12.75" x14ac:dyDescent="0.2"/>
  <cols>
    <col min="1" max="1" width="18" customWidth="1"/>
    <col min="2" max="2" width="6.28515625" customWidth="1"/>
    <col min="3" max="3" width="9" customWidth="1"/>
    <col min="4" max="4" width="5.42578125" customWidth="1"/>
    <col min="5" max="5" width="9.28515625" customWidth="1"/>
    <col min="6" max="6" width="5.42578125" customWidth="1"/>
    <col min="7" max="7" width="8.7109375" customWidth="1"/>
    <col min="8" max="8" width="5.42578125" customWidth="1"/>
    <col min="9" max="9" width="8.7109375" customWidth="1"/>
    <col min="10" max="10" width="5.42578125" customWidth="1"/>
    <col min="11" max="11" width="8.7109375" customWidth="1"/>
    <col min="12" max="12" width="5.42578125" customWidth="1"/>
    <col min="13" max="13" width="8.7109375" customWidth="1"/>
    <col min="14" max="14" width="5.42578125" customWidth="1"/>
    <col min="15" max="15" width="18" customWidth="1"/>
  </cols>
  <sheetData>
    <row r="3" spans="1:15" ht="18" x14ac:dyDescent="0.25">
      <c r="A3" s="2" t="s">
        <v>27</v>
      </c>
    </row>
    <row r="5" spans="1:15" ht="39" customHeight="1" x14ac:dyDescent="0.2">
      <c r="A5" s="89" t="s">
        <v>31</v>
      </c>
      <c r="B5" s="90"/>
      <c r="C5" s="90"/>
      <c r="D5" s="90"/>
      <c r="E5" s="90"/>
      <c r="F5" s="90"/>
      <c r="G5" s="90"/>
    </row>
    <row r="6" spans="1:15" ht="17.25" customHeight="1" x14ac:dyDescent="0.2">
      <c r="A6" s="90"/>
      <c r="B6" s="90"/>
      <c r="C6" s="90"/>
      <c r="D6" s="90"/>
      <c r="E6" s="90"/>
      <c r="F6" s="90"/>
      <c r="G6" s="90"/>
    </row>
    <row r="7" spans="1:15" ht="13.5" thickBot="1" x14ac:dyDescent="0.25"/>
    <row r="8" spans="1:15" ht="15" x14ac:dyDescent="0.25">
      <c r="A8" s="12" t="s">
        <v>0</v>
      </c>
      <c r="B8" s="14" t="s">
        <v>2</v>
      </c>
      <c r="C8" s="85" t="s">
        <v>3</v>
      </c>
      <c r="D8" s="86"/>
      <c r="E8" s="85" t="s">
        <v>38</v>
      </c>
      <c r="F8" s="86"/>
      <c r="G8" s="85" t="s">
        <v>33</v>
      </c>
      <c r="H8" s="86"/>
      <c r="I8" s="85" t="s">
        <v>4</v>
      </c>
      <c r="J8" s="86"/>
      <c r="K8" s="85" t="s">
        <v>37</v>
      </c>
      <c r="L8" s="86"/>
      <c r="M8" s="85" t="s">
        <v>43</v>
      </c>
      <c r="N8" s="86"/>
      <c r="O8" s="50" t="s">
        <v>28</v>
      </c>
    </row>
    <row r="9" spans="1:15" ht="15.75" thickBot="1" x14ac:dyDescent="0.3">
      <c r="A9" s="13"/>
      <c r="B9" s="15"/>
      <c r="C9" s="6" t="s">
        <v>1</v>
      </c>
      <c r="D9" s="7" t="s">
        <v>2</v>
      </c>
      <c r="E9" s="6" t="s">
        <v>1</v>
      </c>
      <c r="F9" s="7" t="s">
        <v>2</v>
      </c>
      <c r="G9" s="6" t="s">
        <v>1</v>
      </c>
      <c r="H9" s="7" t="s">
        <v>2</v>
      </c>
      <c r="I9" s="6" t="s">
        <v>1</v>
      </c>
      <c r="J9" s="7" t="s">
        <v>2</v>
      </c>
      <c r="K9" s="6" t="s">
        <v>1</v>
      </c>
      <c r="L9" s="7" t="s">
        <v>2</v>
      </c>
      <c r="M9" s="6" t="s">
        <v>1</v>
      </c>
      <c r="N9" s="7" t="s">
        <v>2</v>
      </c>
      <c r="O9" s="51" t="s">
        <v>29</v>
      </c>
    </row>
    <row r="10" spans="1:15" ht="13.5" thickBot="1" x14ac:dyDescent="0.25">
      <c r="A10" s="17"/>
    </row>
    <row r="11" spans="1:15" ht="15" x14ac:dyDescent="0.2">
      <c r="A11" s="8" t="s">
        <v>5</v>
      </c>
      <c r="B11" s="42">
        <v>5</v>
      </c>
      <c r="C11" s="76">
        <v>3216</v>
      </c>
      <c r="D11" s="77">
        <v>2</v>
      </c>
      <c r="E11" s="76">
        <v>635</v>
      </c>
      <c r="F11" s="77">
        <v>0</v>
      </c>
      <c r="G11" s="76">
        <v>913</v>
      </c>
      <c r="H11" s="77">
        <v>1</v>
      </c>
      <c r="I11" s="76">
        <v>1869</v>
      </c>
      <c r="J11" s="77">
        <v>1</v>
      </c>
      <c r="K11" s="76">
        <v>1384</v>
      </c>
      <c r="L11" s="77">
        <v>1</v>
      </c>
      <c r="M11" s="76">
        <v>337</v>
      </c>
      <c r="N11" s="77">
        <v>0</v>
      </c>
      <c r="O11" s="82" t="s">
        <v>39</v>
      </c>
    </row>
    <row r="12" spans="1:15" ht="15" x14ac:dyDescent="0.2">
      <c r="A12" s="9" t="s">
        <v>6</v>
      </c>
      <c r="B12" s="44">
        <v>7</v>
      </c>
      <c r="C12" s="78">
        <v>2471</v>
      </c>
      <c r="D12" s="79">
        <v>1</v>
      </c>
      <c r="E12" s="78">
        <v>1560</v>
      </c>
      <c r="F12" s="79">
        <v>1</v>
      </c>
      <c r="G12" s="78">
        <v>1236</v>
      </c>
      <c r="H12" s="79">
        <v>1</v>
      </c>
      <c r="I12" s="78">
        <v>3868</v>
      </c>
      <c r="J12" s="79">
        <v>2</v>
      </c>
      <c r="K12" s="78">
        <v>4380</v>
      </c>
      <c r="L12" s="79">
        <v>2</v>
      </c>
      <c r="M12" s="78">
        <v>381</v>
      </c>
      <c r="N12" s="79">
        <v>0</v>
      </c>
      <c r="O12" s="83" t="s">
        <v>48</v>
      </c>
    </row>
    <row r="13" spans="1:15" ht="15" x14ac:dyDescent="0.2">
      <c r="A13" s="10" t="s">
        <v>7</v>
      </c>
      <c r="B13" s="45">
        <v>3</v>
      </c>
      <c r="C13" s="80">
        <v>341</v>
      </c>
      <c r="D13" s="81">
        <v>0</v>
      </c>
      <c r="E13" s="80">
        <v>66</v>
      </c>
      <c r="F13" s="81">
        <v>0</v>
      </c>
      <c r="G13" s="80">
        <v>167</v>
      </c>
      <c r="H13" s="81">
        <v>0</v>
      </c>
      <c r="I13" s="80">
        <v>1195</v>
      </c>
      <c r="J13" s="81">
        <v>2</v>
      </c>
      <c r="K13" s="80">
        <v>712</v>
      </c>
      <c r="L13" s="81">
        <v>1</v>
      </c>
      <c r="M13" s="80">
        <v>134</v>
      </c>
      <c r="N13" s="81">
        <v>0</v>
      </c>
      <c r="O13" s="84" t="s">
        <v>49</v>
      </c>
    </row>
    <row r="14" spans="1:15" ht="15" x14ac:dyDescent="0.2">
      <c r="A14" s="9" t="s">
        <v>8</v>
      </c>
      <c r="B14" s="44">
        <v>2</v>
      </c>
      <c r="C14" s="78">
        <v>176</v>
      </c>
      <c r="D14" s="79">
        <v>0</v>
      </c>
      <c r="E14" s="78">
        <v>102</v>
      </c>
      <c r="F14" s="79">
        <v>0</v>
      </c>
      <c r="G14" s="78">
        <v>54</v>
      </c>
      <c r="H14" s="79">
        <v>0</v>
      </c>
      <c r="I14" s="78">
        <v>388</v>
      </c>
      <c r="J14" s="79">
        <v>1</v>
      </c>
      <c r="K14" s="78">
        <v>340</v>
      </c>
      <c r="L14" s="79">
        <v>1</v>
      </c>
      <c r="M14" s="78">
        <v>28</v>
      </c>
      <c r="N14" s="79">
        <v>0</v>
      </c>
      <c r="O14" s="83" t="s">
        <v>41</v>
      </c>
    </row>
    <row r="15" spans="1:15" ht="15" x14ac:dyDescent="0.2">
      <c r="A15" s="10" t="s">
        <v>9</v>
      </c>
      <c r="B15" s="45">
        <v>7</v>
      </c>
      <c r="C15" s="80">
        <v>2355</v>
      </c>
      <c r="D15" s="81">
        <v>2</v>
      </c>
      <c r="E15" s="80">
        <v>1297</v>
      </c>
      <c r="F15" s="81">
        <v>1</v>
      </c>
      <c r="G15" s="80">
        <v>1036</v>
      </c>
      <c r="H15" s="81">
        <v>1</v>
      </c>
      <c r="I15" s="80">
        <v>2328</v>
      </c>
      <c r="J15" s="81">
        <v>1</v>
      </c>
      <c r="K15" s="80">
        <v>3625</v>
      </c>
      <c r="L15" s="81">
        <v>2</v>
      </c>
      <c r="M15" s="80">
        <v>314</v>
      </c>
      <c r="N15" s="81">
        <v>0</v>
      </c>
      <c r="O15" s="84" t="s">
        <v>50</v>
      </c>
    </row>
    <row r="16" spans="1:15" ht="15" x14ac:dyDescent="0.2">
      <c r="A16" s="9" t="s">
        <v>10</v>
      </c>
      <c r="B16" s="44">
        <v>3</v>
      </c>
      <c r="C16" s="78">
        <v>263</v>
      </c>
      <c r="D16" s="79">
        <v>0</v>
      </c>
      <c r="E16" s="78">
        <v>180</v>
      </c>
      <c r="F16" s="79">
        <v>0</v>
      </c>
      <c r="G16" s="78">
        <v>351</v>
      </c>
      <c r="H16" s="79">
        <v>1</v>
      </c>
      <c r="I16" s="78">
        <v>1090</v>
      </c>
      <c r="J16" s="79">
        <v>1</v>
      </c>
      <c r="K16" s="78">
        <v>777</v>
      </c>
      <c r="L16" s="79">
        <v>1</v>
      </c>
      <c r="M16" s="78">
        <v>63</v>
      </c>
      <c r="N16" s="79">
        <v>0</v>
      </c>
      <c r="O16" s="83" t="s">
        <v>51</v>
      </c>
    </row>
    <row r="17" spans="1:15" ht="15" x14ac:dyDescent="0.2">
      <c r="A17" s="10" t="s">
        <v>11</v>
      </c>
      <c r="B17" s="45">
        <v>8</v>
      </c>
      <c r="C17" s="80">
        <v>7081</v>
      </c>
      <c r="D17" s="81">
        <v>4</v>
      </c>
      <c r="E17" s="80">
        <v>1501</v>
      </c>
      <c r="F17" s="81">
        <v>1</v>
      </c>
      <c r="G17" s="80">
        <v>748</v>
      </c>
      <c r="H17" s="81">
        <v>0</v>
      </c>
      <c r="I17" s="80">
        <v>3655</v>
      </c>
      <c r="J17" s="81">
        <v>2</v>
      </c>
      <c r="K17" s="80">
        <v>2746</v>
      </c>
      <c r="L17" s="81">
        <v>1</v>
      </c>
      <c r="M17" s="80">
        <v>602</v>
      </c>
      <c r="N17" s="81">
        <v>0</v>
      </c>
      <c r="O17" s="84" t="s">
        <v>52</v>
      </c>
    </row>
    <row r="18" spans="1:15" ht="15" x14ac:dyDescent="0.2">
      <c r="A18" s="9" t="s">
        <v>12</v>
      </c>
      <c r="B18" s="44">
        <v>4</v>
      </c>
      <c r="C18" s="78">
        <v>1015</v>
      </c>
      <c r="D18" s="79">
        <v>1</v>
      </c>
      <c r="E18" s="78">
        <v>443</v>
      </c>
      <c r="F18" s="79">
        <v>0</v>
      </c>
      <c r="G18" s="78">
        <v>467</v>
      </c>
      <c r="H18" s="79">
        <v>0</v>
      </c>
      <c r="I18" s="78">
        <v>1327</v>
      </c>
      <c r="J18" s="79">
        <v>1</v>
      </c>
      <c r="K18" s="78">
        <v>2497</v>
      </c>
      <c r="L18" s="79">
        <v>2</v>
      </c>
      <c r="M18" s="78">
        <v>0</v>
      </c>
      <c r="N18" s="79">
        <v>0</v>
      </c>
      <c r="O18" s="83" t="s">
        <v>39</v>
      </c>
    </row>
    <row r="19" spans="1:15" ht="15" x14ac:dyDescent="0.2">
      <c r="A19" s="10" t="s">
        <v>13</v>
      </c>
      <c r="B19" s="45">
        <v>11</v>
      </c>
      <c r="C19" s="80">
        <v>7397</v>
      </c>
      <c r="D19" s="81">
        <v>2</v>
      </c>
      <c r="E19" s="80">
        <v>4054</v>
      </c>
      <c r="F19" s="81">
        <v>1</v>
      </c>
      <c r="G19" s="80">
        <v>4711</v>
      </c>
      <c r="H19" s="81">
        <v>1</v>
      </c>
      <c r="I19" s="80">
        <v>8520</v>
      </c>
      <c r="J19" s="81">
        <v>3</v>
      </c>
      <c r="K19" s="80">
        <v>6349</v>
      </c>
      <c r="L19" s="81">
        <v>2</v>
      </c>
      <c r="M19" s="80">
        <v>3926</v>
      </c>
      <c r="N19" s="81">
        <v>2</v>
      </c>
      <c r="O19" s="84" t="s">
        <v>53</v>
      </c>
    </row>
    <row r="20" spans="1:15" ht="15" x14ac:dyDescent="0.2">
      <c r="A20" s="9" t="s">
        <v>14</v>
      </c>
      <c r="B20" s="44">
        <v>7</v>
      </c>
      <c r="C20" s="78">
        <v>3235</v>
      </c>
      <c r="D20" s="79">
        <v>2</v>
      </c>
      <c r="E20" s="78">
        <v>983</v>
      </c>
      <c r="F20" s="79">
        <v>1</v>
      </c>
      <c r="G20" s="78">
        <v>807</v>
      </c>
      <c r="H20" s="79">
        <v>0</v>
      </c>
      <c r="I20" s="78">
        <v>3732</v>
      </c>
      <c r="J20" s="79">
        <v>2</v>
      </c>
      <c r="K20" s="78">
        <v>2303</v>
      </c>
      <c r="L20" s="79">
        <v>1</v>
      </c>
      <c r="M20" s="78">
        <v>461</v>
      </c>
      <c r="N20" s="79">
        <v>1</v>
      </c>
      <c r="O20" s="83" t="s">
        <v>54</v>
      </c>
    </row>
    <row r="21" spans="1:15" ht="15" x14ac:dyDescent="0.2">
      <c r="A21" s="10" t="s">
        <v>15</v>
      </c>
      <c r="B21" s="45">
        <v>3</v>
      </c>
      <c r="C21" s="80">
        <v>529</v>
      </c>
      <c r="D21" s="81">
        <v>1</v>
      </c>
      <c r="E21" s="80">
        <v>106</v>
      </c>
      <c r="F21" s="81">
        <v>0</v>
      </c>
      <c r="G21" s="80">
        <v>130</v>
      </c>
      <c r="H21" s="81">
        <v>0</v>
      </c>
      <c r="I21" s="80">
        <v>1061</v>
      </c>
      <c r="J21" s="81">
        <v>1</v>
      </c>
      <c r="K21" s="80">
        <v>824</v>
      </c>
      <c r="L21" s="81">
        <v>1</v>
      </c>
      <c r="M21" s="80">
        <v>0</v>
      </c>
      <c r="N21" s="81">
        <v>0</v>
      </c>
      <c r="O21" s="84" t="s">
        <v>40</v>
      </c>
    </row>
    <row r="22" spans="1:15" ht="15.75" thickBot="1" x14ac:dyDescent="0.25">
      <c r="A22" s="11"/>
      <c r="B22" s="16"/>
      <c r="C22" s="24"/>
      <c r="D22" s="5"/>
      <c r="E22" s="24"/>
      <c r="F22" s="5"/>
      <c r="G22" s="24"/>
      <c r="H22" s="4"/>
      <c r="I22" s="24"/>
      <c r="J22" s="5"/>
      <c r="K22" s="24"/>
      <c r="L22" s="5"/>
      <c r="M22" s="24"/>
      <c r="N22" s="5"/>
      <c r="O22" s="22"/>
    </row>
    <row r="23" spans="1:15" ht="15.75" x14ac:dyDescent="0.25">
      <c r="A23" s="26" t="s">
        <v>16</v>
      </c>
      <c r="B23" s="27">
        <f t="shared" ref="B23:H23" si="0">SUM(B11:B22)</f>
        <v>60</v>
      </c>
      <c r="C23" s="28">
        <f t="shared" si="0"/>
        <v>28079</v>
      </c>
      <c r="D23" s="29">
        <f t="shared" si="0"/>
        <v>15</v>
      </c>
      <c r="E23" s="28">
        <f t="shared" si="0"/>
        <v>10927</v>
      </c>
      <c r="F23" s="29">
        <f t="shared" si="0"/>
        <v>5</v>
      </c>
      <c r="G23" s="28">
        <f t="shared" si="0"/>
        <v>10620</v>
      </c>
      <c r="H23" s="30">
        <f t="shared" si="0"/>
        <v>5</v>
      </c>
      <c r="I23" s="28">
        <f t="shared" ref="I23:J23" si="1">SUM(I11:I22)</f>
        <v>29033</v>
      </c>
      <c r="J23" s="29">
        <f t="shared" si="1"/>
        <v>17</v>
      </c>
      <c r="K23" s="28">
        <f t="shared" ref="K23:N23" si="2">SUM(K11:K22)</f>
        <v>25937</v>
      </c>
      <c r="L23" s="29">
        <f t="shared" si="2"/>
        <v>15</v>
      </c>
      <c r="M23" s="28">
        <f t="shared" si="2"/>
        <v>6246</v>
      </c>
      <c r="N23" s="29">
        <f t="shared" si="2"/>
        <v>3</v>
      </c>
      <c r="O23" s="23"/>
    </row>
    <row r="24" spans="1:15" x14ac:dyDescent="0.2">
      <c r="A24" s="31"/>
      <c r="B24" s="31"/>
      <c r="C24" s="31"/>
      <c r="D24" s="31"/>
      <c r="E24" s="31"/>
      <c r="F24" s="31"/>
      <c r="G24" s="31"/>
      <c r="H24" s="31"/>
      <c r="I24" s="31"/>
      <c r="J24" s="31"/>
      <c r="K24" s="31"/>
      <c r="L24" s="31"/>
      <c r="M24" s="31"/>
      <c r="N24" s="31"/>
    </row>
    <row r="25" spans="1:15" ht="15.75" x14ac:dyDescent="0.25">
      <c r="A25" s="38" t="s">
        <v>30</v>
      </c>
      <c r="B25" s="39"/>
      <c r="C25" s="91">
        <v>1754.9375</v>
      </c>
      <c r="D25" s="87"/>
      <c r="E25" s="87">
        <v>2185.4</v>
      </c>
      <c r="F25" s="87"/>
      <c r="G25" s="87">
        <v>1851.2402</v>
      </c>
      <c r="H25" s="87"/>
      <c r="I25" s="87">
        <v>1951.3217999999999</v>
      </c>
      <c r="J25" s="87"/>
      <c r="K25" s="87">
        <v>2188.8564999999999</v>
      </c>
      <c r="L25" s="87"/>
      <c r="M25" s="87">
        <v>1056.7573</v>
      </c>
      <c r="N25" s="87"/>
    </row>
    <row r="26" spans="1:15" x14ac:dyDescent="0.2">
      <c r="A26" s="36"/>
      <c r="B26" s="37"/>
      <c r="C26" s="92"/>
      <c r="D26" s="88"/>
      <c r="E26" s="88"/>
      <c r="F26" s="88"/>
      <c r="G26" s="88"/>
      <c r="H26" s="88"/>
      <c r="I26" s="88"/>
      <c r="J26" s="88"/>
      <c r="K26" s="88"/>
      <c r="L26" s="88"/>
      <c r="M26" s="88"/>
      <c r="N26" s="88"/>
    </row>
    <row r="27" spans="1:15" x14ac:dyDescent="0.2">
      <c r="C27" s="25"/>
      <c r="D27" s="25"/>
      <c r="I27" s="25"/>
      <c r="J27" s="25"/>
      <c r="K27" s="25"/>
      <c r="L27" s="25"/>
      <c r="M27" s="25"/>
      <c r="N27" s="25"/>
    </row>
    <row r="28" spans="1:15" x14ac:dyDescent="0.2">
      <c r="A28" s="93" t="s">
        <v>55</v>
      </c>
      <c r="B28" s="93"/>
      <c r="C28" s="93"/>
      <c r="D28" s="93"/>
      <c r="E28" s="93"/>
      <c r="F28" s="93"/>
      <c r="G28" s="93"/>
      <c r="H28" s="93"/>
      <c r="I28" s="93"/>
      <c r="J28" s="93"/>
      <c r="K28" s="93"/>
      <c r="L28" s="93"/>
      <c r="M28" s="93"/>
      <c r="N28" s="93"/>
      <c r="O28" s="93"/>
    </row>
    <row r="29" spans="1:15" ht="49.5" customHeight="1" x14ac:dyDescent="0.2">
      <c r="A29" s="93"/>
      <c r="B29" s="93"/>
      <c r="C29" s="93"/>
      <c r="D29" s="93"/>
      <c r="E29" s="93"/>
      <c r="F29" s="93"/>
      <c r="G29" s="93"/>
      <c r="H29" s="93"/>
      <c r="I29" s="93"/>
      <c r="J29" s="93"/>
      <c r="K29" s="93"/>
      <c r="L29" s="93"/>
      <c r="M29" s="93"/>
      <c r="N29" s="93"/>
      <c r="O29" s="93"/>
    </row>
    <row r="30" spans="1:15" x14ac:dyDescent="0.2">
      <c r="A30" s="93"/>
      <c r="B30" s="93"/>
      <c r="C30" s="93"/>
      <c r="D30" s="93"/>
      <c r="E30" s="93"/>
      <c r="F30" s="93"/>
      <c r="G30" s="93"/>
      <c r="H30" s="93"/>
      <c r="I30" s="93"/>
      <c r="J30" s="93"/>
      <c r="K30" s="93"/>
      <c r="L30" s="93"/>
      <c r="M30" s="93"/>
      <c r="N30" s="93"/>
      <c r="O30" s="93"/>
    </row>
  </sheetData>
  <mergeCells count="14">
    <mergeCell ref="A28:O30"/>
    <mergeCell ref="A5:G6"/>
    <mergeCell ref="C8:D8"/>
    <mergeCell ref="E8:F8"/>
    <mergeCell ref="G8:H8"/>
    <mergeCell ref="C25:D26"/>
    <mergeCell ref="E25:F26"/>
    <mergeCell ref="G25:H26"/>
    <mergeCell ref="K8:L8"/>
    <mergeCell ref="K25:L26"/>
    <mergeCell ref="M8:N8"/>
    <mergeCell ref="M25:N26"/>
    <mergeCell ref="I8:J8"/>
    <mergeCell ref="I25:J26"/>
  </mergeCells>
  <pageMargins left="0.7" right="0.7" top="0.78740157499999996" bottom="0.78740157499999996" header="0.3" footer="0.3"/>
  <pageSetup paperSize="9" orientation="landscape" r:id="rId1"/>
  <headerFooter>
    <oddHeader>&amp;LWahlergebnis der Landratswahlen vom 8. März 2026</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3</vt:i4>
      </vt:variant>
    </vt:vector>
  </HeadingPairs>
  <TitlesOfParts>
    <vt:vector size="6" baseType="lpstr">
      <vt:lpstr>Basiszahlen</vt:lpstr>
      <vt:lpstr>Oberzuteilung</vt:lpstr>
      <vt:lpstr>Unterzuteilung</vt:lpstr>
      <vt:lpstr>Basiszahlen!Druckbereich</vt:lpstr>
      <vt:lpstr>Oberzuteilung!Druckbereich</vt:lpstr>
      <vt:lpstr>Unterzuteilung!Druckbereich</vt:lpstr>
    </vt:vector>
  </TitlesOfParts>
  <Company>Kantone Obwalden / Nidwalden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InformatikLeistungsZentrum</dc:creator>
  <cp:lastModifiedBy>Haldimann Stefanie</cp:lastModifiedBy>
  <cp:lastPrinted>2026-03-09T15:30:02Z</cp:lastPrinted>
  <dcterms:created xsi:type="dcterms:W3CDTF">2014-03-17T14:04:45Z</dcterms:created>
  <dcterms:modified xsi:type="dcterms:W3CDTF">2026-03-09T15:30:32Z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ies>
</file>
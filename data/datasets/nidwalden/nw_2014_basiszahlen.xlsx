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8810" windowHeight="10440"/>
  </bookViews>
  <sheets>
    <sheet name="Basiszahlen" sheetId="1" r:id="rId1"/>
    <sheet name="Oberzuteilung" sheetId="2" r:id="rId2"/>
    <sheet name="Unterzuteilung" sheetId="3" r:id="rId3"/>
  </sheets>
  <calcPr calcId="125725"/>
</workbook>
</file>

<file path=xl/calcChain.xml><?xml version="1.0" encoding="utf-8"?>
<calcChain xmlns="http://schemas.openxmlformats.org/spreadsheetml/2006/main">
  <c r="L23" i="3"/>
  <c r="K23"/>
  <c r="J23"/>
  <c r="I23"/>
  <c r="H23"/>
  <c r="G23"/>
  <c r="F23"/>
  <c r="E23"/>
  <c r="D23"/>
  <c r="C23"/>
  <c r="B23"/>
  <c r="L23" i="1"/>
  <c r="K23"/>
  <c r="J23"/>
  <c r="I23"/>
  <c r="H23"/>
  <c r="G23"/>
  <c r="F23"/>
  <c r="E23"/>
  <c r="B23"/>
  <c r="C23"/>
  <c r="D23"/>
</calcChain>
</file>

<file path=xl/sharedStrings.xml><?xml version="1.0" encoding="utf-8"?>
<sst xmlns="http://schemas.openxmlformats.org/spreadsheetml/2006/main" count="95" uniqueCount="52">
  <si>
    <t>Gemeinde</t>
  </si>
  <si>
    <t>Stimmen</t>
  </si>
  <si>
    <t>Sitze</t>
  </si>
  <si>
    <t>CVP</t>
  </si>
  <si>
    <t>GN</t>
  </si>
  <si>
    <t>FDP</t>
  </si>
  <si>
    <t>SVP</t>
  </si>
  <si>
    <t>SP&amp;JUSO</t>
  </si>
  <si>
    <t>Beckenried</t>
  </si>
  <si>
    <t>Buochs</t>
  </si>
  <si>
    <t>Dallenwil</t>
  </si>
  <si>
    <t>Emmetten</t>
  </si>
  <si>
    <t>Ennetbürgen</t>
  </si>
  <si>
    <t>Ennetmoos</t>
  </si>
  <si>
    <t>Hergiswil</t>
  </si>
  <si>
    <t>Oberdorf</t>
  </si>
  <si>
    <t>Stans</t>
  </si>
  <si>
    <t>Stansstad</t>
  </si>
  <si>
    <t>Wolfenschiessen</t>
  </si>
  <si>
    <t>Total</t>
  </si>
  <si>
    <t>Die Basiszahlen weisen die Anzahl erzielter Stimmen und die Wählerzahl der einzelnen Listen für den Kanton und die einzelnen Gemeinden aus.</t>
  </si>
  <si>
    <t>Wählerzahl</t>
  </si>
  <si>
    <t>1. Basiszahlen</t>
  </si>
  <si>
    <t>2. Oberzuteilung</t>
  </si>
  <si>
    <t>Liste</t>
  </si>
  <si>
    <t>Quotient</t>
  </si>
  <si>
    <t>Wahlschlüssel</t>
  </si>
  <si>
    <t>Sitze Gesamt</t>
  </si>
  <si>
    <t>Sitzanspruch</t>
  </si>
  <si>
    <t>SP&amp;Juso</t>
  </si>
  <si>
    <t>Mit der Oberzuteilung wird der Sitzanspruch der einzelnen Listen im ganzen Kanton festgelegt.</t>
  </si>
  <si>
    <t>3. abschliessende Unterzuteilung</t>
  </si>
  <si>
    <t>Wahlkreis-</t>
  </si>
  <si>
    <t>divisor</t>
  </si>
  <si>
    <t>Parteidivisor</t>
  </si>
  <si>
    <t>0.2734375</t>
  </si>
  <si>
    <t>0.375</t>
  </si>
  <si>
    <t>1.25</t>
  </si>
  <si>
    <t>1.092041015625</t>
  </si>
  <si>
    <t>0.84375</t>
  </si>
  <si>
    <t>1.7986721992492676</t>
  </si>
  <si>
    <t>1.0</t>
  </si>
  <si>
    <t>0.5</t>
  </si>
  <si>
    <t>0.75</t>
  </si>
  <si>
    <t>0.369140625</t>
  </si>
  <si>
    <t>1571.69114583333</t>
  </si>
  <si>
    <t>1596.69081115723</t>
  </si>
  <si>
    <t>1816.73042072969</t>
  </si>
  <si>
    <t>1562.6029526923</t>
  </si>
  <si>
    <t>Wahlergebnis der Landratswahlen vom 23. März 2014</t>
  </si>
  <si>
    <t>Mit der Unterzuteilung wird die Zahl der Sitze je Liste in den einzelnen Gemeinden festgelegt. Die Parteistimmenzahl einer Liste wird durch den Wahlkreis-Divisor und den Listengruppen-Divisor geteilt.</t>
  </si>
  <si>
    <t>WZ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</si>
</sst>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#,##0;[Red]#,##0"/>
  </numFmts>
  <fonts count="12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71">
    <xf numFmtId="0" fontId="0" fillId="0" borderId="0" xfId="0"/>
    <xf numFmtId="0" fontId="4" fillId="0" borderId="0" xfId="0" applyFont="1"/>
    <xf numFmtId="0" fontId="6" fillId="0" borderId="0" xfId="0" applyFont="1"/>
    <xf numFmtId="0" fontId="5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5" fillId="2" borderId="8" xfId="0" applyFont="1" applyFill="1" applyBorder="1"/>
    <xf numFmtId="0" fontId="5" fillId="2" borderId="9" xfId="0" applyFont="1" applyFill="1" applyBorder="1"/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/>
    <xf numFmtId="0" fontId="3" fillId="0" borderId="14" xfId="0" applyFont="1" applyBorder="1"/>
    <xf numFmtId="0" fontId="3" fillId="2" borderId="15" xfId="0" applyFont="1" applyFill="1" applyBorder="1"/>
    <xf numFmtId="0" fontId="3" fillId="0" borderId="15" xfId="0" applyFont="1" applyBorder="1"/>
    <xf numFmtId="0" fontId="3" fillId="0" borderId="16" xfId="0" applyFont="1" applyBorder="1"/>
    <xf numFmtId="0" fontId="2" fillId="3" borderId="17" xfId="0" applyFont="1" applyFill="1" applyBorder="1"/>
    <xf numFmtId="0" fontId="0" fillId="3" borderId="18" xfId="0" applyFill="1" applyBorder="1"/>
    <xf numFmtId="0" fontId="2" fillId="3" borderId="11" xfId="0" applyFont="1" applyFill="1" applyBorder="1"/>
    <xf numFmtId="0" fontId="0" fillId="3" borderId="19" xfId="0" applyFill="1" applyBorder="1"/>
    <xf numFmtId="0" fontId="3" fillId="0" borderId="20" xfId="0" applyFont="1" applyBorder="1"/>
    <xf numFmtId="0" fontId="3" fillId="2" borderId="21" xfId="0" applyFont="1" applyFill="1" applyBorder="1"/>
    <xf numFmtId="0" fontId="3" fillId="0" borderId="21" xfId="0" applyFont="1" applyBorder="1"/>
    <xf numFmtId="0" fontId="3" fillId="0" borderId="22" xfId="0" applyFont="1" applyBorder="1"/>
    <xf numFmtId="0" fontId="5" fillId="2" borderId="23" xfId="0" applyFont="1" applyFill="1" applyBorder="1"/>
    <xf numFmtId="0" fontId="0" fillId="0" borderId="24" xfId="0" applyBorder="1"/>
    <xf numFmtId="0" fontId="5" fillId="2" borderId="1" xfId="0" applyFont="1" applyFill="1" applyBorder="1"/>
    <xf numFmtId="0" fontId="3" fillId="0" borderId="0" xfId="0" applyFont="1"/>
    <xf numFmtId="0" fontId="3" fillId="0" borderId="25" xfId="0" applyFont="1" applyBorder="1"/>
    <xf numFmtId="0" fontId="3" fillId="2" borderId="25" xfId="0" applyFont="1" applyFill="1" applyBorder="1"/>
    <xf numFmtId="0" fontId="5" fillId="2" borderId="25" xfId="0" applyFont="1" applyFill="1" applyBorder="1"/>
    <xf numFmtId="0" fontId="2" fillId="3" borderId="18" xfId="0" applyFont="1" applyFill="1" applyBorder="1"/>
    <xf numFmtId="0" fontId="3" fillId="0" borderId="0" xfId="0" applyFont="1" applyBorder="1"/>
    <xf numFmtId="0" fontId="5" fillId="4" borderId="26" xfId="0" applyFont="1" applyFill="1" applyBorder="1"/>
    <xf numFmtId="164" fontId="3" fillId="0" borderId="25" xfId="1" applyNumberFormat="1" applyFont="1" applyBorder="1"/>
    <xf numFmtId="164" fontId="3" fillId="2" borderId="25" xfId="1" applyNumberFormat="1" applyFont="1" applyFill="1" applyBorder="1"/>
    <xf numFmtId="3" fontId="3" fillId="2" borderId="4" xfId="0" applyNumberFormat="1" applyFont="1" applyFill="1" applyBorder="1"/>
    <xf numFmtId="3" fontId="3" fillId="0" borderId="4" xfId="0" applyNumberFormat="1" applyFont="1" applyBorder="1"/>
    <xf numFmtId="3" fontId="3" fillId="0" borderId="2" xfId="0" applyNumberFormat="1" applyFont="1" applyBorder="1"/>
    <xf numFmtId="3" fontId="3" fillId="0" borderId="6" xfId="0" applyNumberFormat="1" applyFont="1" applyBorder="1"/>
    <xf numFmtId="49" fontId="9" fillId="0" borderId="14" xfId="0" applyNumberFormat="1" applyFont="1" applyBorder="1"/>
    <xf numFmtId="49" fontId="9" fillId="2" borderId="15" xfId="0" applyNumberFormat="1" applyFont="1" applyFill="1" applyBorder="1"/>
    <xf numFmtId="49" fontId="9" fillId="0" borderId="15" xfId="0" applyNumberFormat="1" applyFont="1" applyBorder="1"/>
    <xf numFmtId="49" fontId="10" fillId="0" borderId="15" xfId="0" applyNumberFormat="1" applyFont="1" applyBorder="1"/>
    <xf numFmtId="49" fontId="0" fillId="0" borderId="0" xfId="0" applyNumberFormat="1"/>
    <xf numFmtId="0" fontId="5" fillId="2" borderId="17" xfId="0" applyFont="1" applyFill="1" applyBorder="1"/>
    <xf numFmtId="0" fontId="5" fillId="2" borderId="27" xfId="0" applyFont="1" applyFill="1" applyBorder="1"/>
    <xf numFmtId="3" fontId="5" fillId="2" borderId="28" xfId="0" applyNumberFormat="1" applyFont="1" applyFill="1" applyBorder="1"/>
    <xf numFmtId="0" fontId="5" fillId="2" borderId="29" xfId="0" applyFont="1" applyFill="1" applyBorder="1"/>
    <xf numFmtId="0" fontId="5" fillId="2" borderId="10" xfId="0" applyFont="1" applyFill="1" applyBorder="1"/>
    <xf numFmtId="0" fontId="0" fillId="0" borderId="25" xfId="0" applyBorder="1"/>
    <xf numFmtId="0" fontId="5" fillId="0" borderId="25" xfId="0" applyFont="1" applyBorder="1"/>
    <xf numFmtId="0" fontId="7" fillId="3" borderId="0" xfId="0" applyFont="1" applyFill="1"/>
    <xf numFmtId="0" fontId="11" fillId="3" borderId="0" xfId="0" applyFont="1" applyFill="1"/>
    <xf numFmtId="0" fontId="11" fillId="0" borderId="0" xfId="0" applyFont="1"/>
    <xf numFmtId="0" fontId="0" fillId="0" borderId="0" xfId="0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49" fontId="0" fillId="0" borderId="30" xfId="0" applyNumberFormat="1" applyBorder="1" applyAlignment="1">
      <alignment horizontal="right"/>
    </xf>
    <xf numFmtId="49" fontId="0" fillId="0" borderId="31" xfId="0" applyNumberFormat="1" applyBorder="1" applyAlignment="1">
      <alignment horizontal="right"/>
    </xf>
    <xf numFmtId="0" fontId="0" fillId="0" borderId="30" xfId="0" applyBorder="1" applyAlignment="1">
      <alignment horizontal="right"/>
    </xf>
    <xf numFmtId="0" fontId="0" fillId="0" borderId="31" xfId="0" applyBorder="1" applyAlignment="1">
      <alignment horizontal="right"/>
    </xf>
    <xf numFmtId="49" fontId="4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Dezimal" xfId="1" builtinId="3"/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23"/>
  <sheetViews>
    <sheetView tabSelected="1" zoomScaleNormal="100" workbookViewId="0">
      <selection activeCell="A4" sqref="A4:L23"/>
    </sheetView>
  </sheetViews>
  <sheetFormatPr baseColWidth="10" defaultRowHeight="12.75"/>
  <cols>
    <col min="1" max="1" width="17.7109375" customWidth="1"/>
    <col min="2" max="2" width="4.85546875" customWidth="1"/>
    <col min="3" max="3" width="8.7109375" customWidth="1"/>
    <col min="4" max="4" width="6.140625" customWidth="1"/>
    <col min="5" max="5" width="8.5703125" customWidth="1"/>
    <col min="6" max="6" width="6.28515625" customWidth="1"/>
    <col min="7" max="7" width="8.28515625" customWidth="1"/>
    <col min="8" max="8" width="6.7109375" customWidth="1"/>
    <col min="9" max="9" width="8.5703125" customWidth="1"/>
    <col min="10" max="10" width="6.7109375" customWidth="1"/>
    <col min="11" max="11" width="8.28515625" customWidth="1"/>
    <col min="12" max="12" width="5.42578125" customWidth="1"/>
  </cols>
  <sheetData>
    <row r="2" spans="1:14" s="58" customFormat="1" ht="20.25">
      <c r="A2" s="56" t="s">
        <v>49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4" s="58" customFormat="1" ht="20.25"/>
    <row r="4" spans="1:14" s="3" customFormat="1" ht="18">
      <c r="A4" s="2" t="s">
        <v>22</v>
      </c>
    </row>
    <row r="5" spans="1:14" ht="9.75" customHeight="1"/>
    <row r="6" spans="1:14" s="68" customFormat="1" ht="29.25" customHeight="1">
      <c r="A6" s="69" t="s">
        <v>20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</row>
    <row r="7" spans="1:14" ht="13.5" thickBot="1"/>
    <row r="8" spans="1:14" ht="15">
      <c r="A8" s="20" t="s">
        <v>0</v>
      </c>
      <c r="B8" s="22" t="s">
        <v>2</v>
      </c>
      <c r="C8" s="60" t="s">
        <v>3</v>
      </c>
      <c r="D8" s="61"/>
      <c r="E8" s="60" t="s">
        <v>4</v>
      </c>
      <c r="F8" s="61"/>
      <c r="G8" s="60" t="s">
        <v>5</v>
      </c>
      <c r="H8" s="61"/>
      <c r="I8" s="60" t="s">
        <v>6</v>
      </c>
      <c r="J8" s="61"/>
      <c r="K8" s="60" t="s">
        <v>7</v>
      </c>
      <c r="L8" s="61"/>
      <c r="M8" s="59"/>
      <c r="N8" s="59"/>
    </row>
    <row r="9" spans="1:14" ht="13.5" thickBot="1">
      <c r="A9" s="21"/>
      <c r="B9" s="23"/>
      <c r="C9" s="14" t="s">
        <v>1</v>
      </c>
      <c r="D9" s="15" t="s">
        <v>51</v>
      </c>
      <c r="E9" s="14" t="s">
        <v>1</v>
      </c>
      <c r="F9" s="15" t="s">
        <v>51</v>
      </c>
      <c r="G9" s="14" t="s">
        <v>1</v>
      </c>
      <c r="H9" s="15" t="s">
        <v>51</v>
      </c>
      <c r="I9" s="14" t="s">
        <v>1</v>
      </c>
      <c r="J9" s="15" t="s">
        <v>51</v>
      </c>
      <c r="K9" s="14" t="s">
        <v>1</v>
      </c>
      <c r="L9" s="15" t="s">
        <v>51</v>
      </c>
    </row>
    <row r="10" spans="1:14" ht="13.5" thickBot="1">
      <c r="A10" s="29"/>
    </row>
    <row r="11" spans="1:14" ht="24.95" customHeight="1">
      <c r="A11" s="16" t="s">
        <v>8</v>
      </c>
      <c r="B11" s="24">
        <v>5</v>
      </c>
      <c r="C11" s="42">
        <v>1671</v>
      </c>
      <c r="D11" s="5">
        <v>334</v>
      </c>
      <c r="E11" s="42">
        <v>1152</v>
      </c>
      <c r="F11" s="5">
        <v>230</v>
      </c>
      <c r="G11" s="42">
        <v>1310</v>
      </c>
      <c r="H11" s="5">
        <v>262</v>
      </c>
      <c r="I11" s="42">
        <v>2082</v>
      </c>
      <c r="J11" s="5">
        <v>416</v>
      </c>
      <c r="K11" s="4">
        <v>0</v>
      </c>
      <c r="L11" s="5">
        <v>0</v>
      </c>
    </row>
    <row r="12" spans="1:14" ht="24.95" customHeight="1">
      <c r="A12" s="17" t="s">
        <v>9</v>
      </c>
      <c r="B12" s="25">
        <v>8</v>
      </c>
      <c r="C12" s="40">
        <v>5306</v>
      </c>
      <c r="D12" s="7">
        <v>663</v>
      </c>
      <c r="E12" s="40">
        <v>1775</v>
      </c>
      <c r="F12" s="7">
        <v>222</v>
      </c>
      <c r="G12" s="40">
        <v>3099</v>
      </c>
      <c r="H12" s="7">
        <v>387</v>
      </c>
      <c r="I12" s="40">
        <v>3565</v>
      </c>
      <c r="J12" s="7">
        <v>446</v>
      </c>
      <c r="K12" s="6">
        <v>333</v>
      </c>
      <c r="L12" s="7">
        <v>42</v>
      </c>
    </row>
    <row r="13" spans="1:14" ht="24.95" customHeight="1">
      <c r="A13" s="18" t="s">
        <v>10</v>
      </c>
      <c r="B13" s="26">
        <v>3</v>
      </c>
      <c r="C13" s="8">
        <v>725</v>
      </c>
      <c r="D13" s="9">
        <v>242</v>
      </c>
      <c r="E13" s="8">
        <v>187</v>
      </c>
      <c r="F13" s="9">
        <v>62</v>
      </c>
      <c r="G13" s="8">
        <v>364</v>
      </c>
      <c r="H13" s="9">
        <v>121</v>
      </c>
      <c r="I13" s="8">
        <v>788</v>
      </c>
      <c r="J13" s="9">
        <v>263</v>
      </c>
      <c r="K13" s="8">
        <v>0</v>
      </c>
      <c r="L13" s="9">
        <v>0</v>
      </c>
    </row>
    <row r="14" spans="1:14" ht="24.95" customHeight="1">
      <c r="A14" s="17" t="s">
        <v>11</v>
      </c>
      <c r="B14" s="25">
        <v>2</v>
      </c>
      <c r="C14" s="6">
        <v>272</v>
      </c>
      <c r="D14" s="7">
        <v>136</v>
      </c>
      <c r="E14" s="6">
        <v>77</v>
      </c>
      <c r="F14" s="7">
        <v>39</v>
      </c>
      <c r="G14" s="6">
        <v>204</v>
      </c>
      <c r="H14" s="7">
        <v>102</v>
      </c>
      <c r="I14" s="6">
        <v>288</v>
      </c>
      <c r="J14" s="7">
        <v>144</v>
      </c>
      <c r="K14" s="6">
        <v>56</v>
      </c>
      <c r="L14" s="7">
        <v>28</v>
      </c>
    </row>
    <row r="15" spans="1:14" ht="24.95" customHeight="1">
      <c r="A15" s="18" t="s">
        <v>12</v>
      </c>
      <c r="B15" s="26">
        <v>6</v>
      </c>
      <c r="C15" s="41">
        <v>3647</v>
      </c>
      <c r="D15" s="9">
        <v>608</v>
      </c>
      <c r="E15" s="41">
        <v>1282</v>
      </c>
      <c r="F15" s="9">
        <v>214</v>
      </c>
      <c r="G15" s="41">
        <v>2215</v>
      </c>
      <c r="H15" s="9">
        <v>369</v>
      </c>
      <c r="I15" s="41">
        <v>2902</v>
      </c>
      <c r="J15" s="9">
        <v>484</v>
      </c>
      <c r="K15" s="8">
        <v>0</v>
      </c>
      <c r="L15" s="9">
        <v>0</v>
      </c>
    </row>
    <row r="16" spans="1:14" ht="24.95" customHeight="1">
      <c r="A16" s="17" t="s">
        <v>13</v>
      </c>
      <c r="B16" s="25">
        <v>3</v>
      </c>
      <c r="C16" s="6">
        <v>865</v>
      </c>
      <c r="D16" s="7">
        <v>288</v>
      </c>
      <c r="E16" s="6">
        <v>295</v>
      </c>
      <c r="F16" s="7">
        <v>98</v>
      </c>
      <c r="G16" s="6">
        <v>272</v>
      </c>
      <c r="H16" s="7">
        <v>91</v>
      </c>
      <c r="I16" s="6">
        <v>667</v>
      </c>
      <c r="J16" s="7">
        <v>222</v>
      </c>
      <c r="K16" s="6">
        <v>0</v>
      </c>
      <c r="L16" s="7">
        <v>0</v>
      </c>
    </row>
    <row r="17" spans="1:12" ht="24.95" customHeight="1">
      <c r="A17" s="18" t="s">
        <v>14</v>
      </c>
      <c r="B17" s="26">
        <v>8</v>
      </c>
      <c r="C17" s="41">
        <v>2560</v>
      </c>
      <c r="D17" s="9">
        <v>320</v>
      </c>
      <c r="E17" s="41">
        <v>1016</v>
      </c>
      <c r="F17" s="9">
        <v>127</v>
      </c>
      <c r="G17" s="41">
        <v>4436</v>
      </c>
      <c r="H17" s="9">
        <v>555</v>
      </c>
      <c r="I17" s="41">
        <v>4137</v>
      </c>
      <c r="J17" s="9">
        <v>517</v>
      </c>
      <c r="K17" s="8">
        <v>586</v>
      </c>
      <c r="L17" s="9">
        <v>73</v>
      </c>
    </row>
    <row r="18" spans="1:12" ht="24.95" customHeight="1">
      <c r="A18" s="17" t="s">
        <v>15</v>
      </c>
      <c r="B18" s="25">
        <v>4</v>
      </c>
      <c r="C18" s="40">
        <v>1868</v>
      </c>
      <c r="D18" s="7">
        <v>467</v>
      </c>
      <c r="E18" s="6">
        <v>438</v>
      </c>
      <c r="F18" s="7">
        <v>110</v>
      </c>
      <c r="G18" s="6">
        <v>594</v>
      </c>
      <c r="H18" s="7">
        <v>149</v>
      </c>
      <c r="I18" s="40">
        <v>1767</v>
      </c>
      <c r="J18" s="7">
        <v>442</v>
      </c>
      <c r="K18" s="6">
        <v>296</v>
      </c>
      <c r="L18" s="7">
        <v>74</v>
      </c>
    </row>
    <row r="19" spans="1:12" ht="24.95" customHeight="1">
      <c r="A19" s="18" t="s">
        <v>16</v>
      </c>
      <c r="B19" s="26">
        <v>12</v>
      </c>
      <c r="C19" s="41">
        <v>6768</v>
      </c>
      <c r="D19" s="9">
        <v>564</v>
      </c>
      <c r="E19" s="41">
        <v>7168</v>
      </c>
      <c r="F19" s="9">
        <v>597</v>
      </c>
      <c r="G19" s="41">
        <v>7376</v>
      </c>
      <c r="H19" s="9">
        <v>615</v>
      </c>
      <c r="I19" s="41">
        <v>8226</v>
      </c>
      <c r="J19" s="9">
        <v>686</v>
      </c>
      <c r="K19" s="41">
        <v>3856</v>
      </c>
      <c r="L19" s="9">
        <v>321</v>
      </c>
    </row>
    <row r="20" spans="1:12" ht="24.95" customHeight="1">
      <c r="A20" s="17" t="s">
        <v>17</v>
      </c>
      <c r="B20" s="25">
        <v>6</v>
      </c>
      <c r="C20" s="40">
        <v>1568</v>
      </c>
      <c r="D20" s="7">
        <v>261</v>
      </c>
      <c r="E20" s="6">
        <v>788</v>
      </c>
      <c r="F20" s="7">
        <v>131</v>
      </c>
      <c r="G20" s="40">
        <v>2946</v>
      </c>
      <c r="H20" s="7">
        <v>491</v>
      </c>
      <c r="I20" s="40">
        <v>2297</v>
      </c>
      <c r="J20" s="7">
        <v>383</v>
      </c>
      <c r="K20" s="6">
        <v>490</v>
      </c>
      <c r="L20" s="7">
        <v>82</v>
      </c>
    </row>
    <row r="21" spans="1:12" ht="24.95" customHeight="1">
      <c r="A21" s="18" t="s">
        <v>18</v>
      </c>
      <c r="B21" s="26">
        <v>3</v>
      </c>
      <c r="C21" s="8">
        <v>799</v>
      </c>
      <c r="D21" s="9">
        <v>266</v>
      </c>
      <c r="E21" s="8">
        <v>0</v>
      </c>
      <c r="F21" s="9">
        <v>0</v>
      </c>
      <c r="G21" s="8">
        <v>945</v>
      </c>
      <c r="H21" s="9">
        <v>315</v>
      </c>
      <c r="I21" s="8">
        <v>479</v>
      </c>
      <c r="J21" s="9">
        <v>160</v>
      </c>
      <c r="K21" s="8">
        <v>187</v>
      </c>
      <c r="L21" s="9">
        <v>62</v>
      </c>
    </row>
    <row r="22" spans="1:12" ht="24.95" customHeight="1" thickBot="1">
      <c r="A22" s="19"/>
      <c r="B22" s="27"/>
      <c r="C22" s="10"/>
      <c r="D22" s="11"/>
      <c r="E22" s="10"/>
      <c r="F22" s="11"/>
      <c r="G22" s="10"/>
      <c r="H22" s="11"/>
      <c r="I22" s="10"/>
      <c r="J22" s="11"/>
      <c r="K22" s="10"/>
      <c r="L22" s="11"/>
    </row>
    <row r="23" spans="1:12" ht="24.95" customHeight="1" thickBot="1">
      <c r="A23" s="30" t="s">
        <v>19</v>
      </c>
      <c r="B23" s="28">
        <f t="shared" ref="B23:L23" si="0">SUM(B11:B22)</f>
        <v>60</v>
      </c>
      <c r="C23" s="12">
        <f t="shared" si="0"/>
        <v>26049</v>
      </c>
      <c r="D23" s="13">
        <f t="shared" si="0"/>
        <v>4149</v>
      </c>
      <c r="E23" s="12">
        <f t="shared" si="0"/>
        <v>14178</v>
      </c>
      <c r="F23" s="13">
        <f t="shared" si="0"/>
        <v>1830</v>
      </c>
      <c r="G23" s="12">
        <f t="shared" si="0"/>
        <v>23761</v>
      </c>
      <c r="H23" s="13">
        <f t="shared" si="0"/>
        <v>3457</v>
      </c>
      <c r="I23" s="12">
        <f t="shared" si="0"/>
        <v>27198</v>
      </c>
      <c r="J23" s="13">
        <f t="shared" si="0"/>
        <v>4163</v>
      </c>
      <c r="K23" s="12">
        <f t="shared" si="0"/>
        <v>5804</v>
      </c>
      <c r="L23" s="13">
        <f t="shared" si="0"/>
        <v>682</v>
      </c>
    </row>
  </sheetData>
  <mergeCells count="7">
    <mergeCell ref="A6:L6"/>
    <mergeCell ref="M8:N8"/>
    <mergeCell ref="C8:D8"/>
    <mergeCell ref="E8:F8"/>
    <mergeCell ref="G8:H8"/>
    <mergeCell ref="I8:J8"/>
    <mergeCell ref="K8:L8"/>
  </mergeCells>
  <pageMargins left="0.7" right="0.7" top="0.78740157499999996" bottom="0.78740157499999996" header="0.3" footer="0.3"/>
  <pageSetup paperSize="9" scale="97" orientation="landscape" r:id="rId1"/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3:F17"/>
  <sheetViews>
    <sheetView view="pageLayout" zoomScaleNormal="100" workbookViewId="0">
      <selection activeCell="A3" sqref="A3"/>
    </sheetView>
  </sheetViews>
  <sheetFormatPr baseColWidth="10" defaultRowHeight="12.75"/>
  <cols>
    <col min="2" max="2" width="13.7109375" customWidth="1"/>
    <col min="3" max="3" width="14.140625" customWidth="1"/>
    <col min="4" max="4" width="13.7109375" customWidth="1"/>
    <col min="5" max="5" width="15.28515625" customWidth="1"/>
  </cols>
  <sheetData>
    <row r="3" spans="1:6" s="2" customFormat="1" ht="18">
      <c r="A3" s="2" t="s">
        <v>23</v>
      </c>
    </row>
    <row r="5" spans="1:6" s="31" customFormat="1" ht="15">
      <c r="A5" s="1" t="s">
        <v>30</v>
      </c>
    </row>
    <row r="6" spans="1:6" s="31" customFormat="1" ht="15">
      <c r="A6" s="1"/>
    </row>
    <row r="7" spans="1:6" ht="20.100000000000001" customHeight="1">
      <c r="A7" s="31"/>
      <c r="B7" s="31"/>
      <c r="C7" s="31"/>
      <c r="D7" s="31"/>
      <c r="E7" s="31" t="s">
        <v>27</v>
      </c>
      <c r="F7" s="3">
        <v>60</v>
      </c>
    </row>
    <row r="8" spans="1:6" ht="20.100000000000001" customHeight="1">
      <c r="A8" s="31"/>
      <c r="B8" s="31"/>
      <c r="C8" s="31"/>
      <c r="D8" s="31"/>
      <c r="E8" s="31" t="s">
        <v>26</v>
      </c>
      <c r="F8" s="31">
        <v>238.02</v>
      </c>
    </row>
    <row r="9" spans="1:6" ht="20.100000000000001" customHeight="1">
      <c r="A9" s="31"/>
      <c r="B9" s="31"/>
      <c r="C9" s="31"/>
      <c r="D9" s="31"/>
      <c r="E9" s="31"/>
      <c r="F9" s="31"/>
    </row>
    <row r="10" spans="1:6" ht="20.100000000000001" customHeight="1">
      <c r="A10" s="34" t="s">
        <v>24</v>
      </c>
      <c r="B10" s="34" t="s">
        <v>1</v>
      </c>
      <c r="C10" s="34" t="s">
        <v>21</v>
      </c>
      <c r="D10" s="34" t="s">
        <v>25</v>
      </c>
      <c r="E10" s="34" t="s">
        <v>28</v>
      </c>
      <c r="F10" s="31"/>
    </row>
    <row r="11" spans="1:6" ht="20.100000000000001" customHeight="1">
      <c r="A11" s="32"/>
      <c r="B11" s="32"/>
      <c r="C11" s="32"/>
      <c r="D11" s="32"/>
      <c r="E11" s="32"/>
      <c r="F11" s="31"/>
    </row>
    <row r="12" spans="1:6" ht="20.100000000000001" customHeight="1">
      <c r="A12" s="32" t="s">
        <v>3</v>
      </c>
      <c r="B12" s="38">
        <v>26049</v>
      </c>
      <c r="C12" s="38">
        <v>4149</v>
      </c>
      <c r="D12" s="32">
        <v>17.43</v>
      </c>
      <c r="E12" s="32">
        <v>17</v>
      </c>
      <c r="F12" s="31"/>
    </row>
    <row r="13" spans="1:6" ht="20.100000000000001" customHeight="1">
      <c r="A13" s="33" t="s">
        <v>4</v>
      </c>
      <c r="B13" s="39">
        <v>14178</v>
      </c>
      <c r="C13" s="39">
        <v>1830</v>
      </c>
      <c r="D13" s="33">
        <v>7.69</v>
      </c>
      <c r="E13" s="33">
        <v>8</v>
      </c>
      <c r="F13" s="31"/>
    </row>
    <row r="14" spans="1:6" ht="20.100000000000001" customHeight="1">
      <c r="A14" s="32" t="s">
        <v>5</v>
      </c>
      <c r="B14" s="38">
        <v>23761</v>
      </c>
      <c r="C14" s="38">
        <v>3457</v>
      </c>
      <c r="D14" s="32">
        <v>14.52</v>
      </c>
      <c r="E14" s="32">
        <v>15</v>
      </c>
      <c r="F14" s="31"/>
    </row>
    <row r="15" spans="1:6" ht="20.100000000000001" customHeight="1">
      <c r="A15" s="33" t="s">
        <v>6</v>
      </c>
      <c r="B15" s="39">
        <v>27198</v>
      </c>
      <c r="C15" s="39">
        <v>4163</v>
      </c>
      <c r="D15" s="33">
        <v>17.489999999999998</v>
      </c>
      <c r="E15" s="33">
        <v>17</v>
      </c>
      <c r="F15" s="31"/>
    </row>
    <row r="16" spans="1:6" ht="20.100000000000001" customHeight="1">
      <c r="A16" s="32" t="s">
        <v>29</v>
      </c>
      <c r="B16" s="38">
        <v>5804</v>
      </c>
      <c r="C16" s="38">
        <v>682</v>
      </c>
      <c r="D16" s="32">
        <v>2.87</v>
      </c>
      <c r="E16" s="32">
        <v>3</v>
      </c>
      <c r="F16" s="31"/>
    </row>
    <row r="17" ht="20.100000000000001" customHeight="1"/>
  </sheetData>
  <pageMargins left="0.7" right="0.7" top="0.78740157499999996" bottom="0.78740157499999996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M29"/>
  <sheetViews>
    <sheetView zoomScaleNormal="100" workbookViewId="0">
      <selection activeCell="A3" sqref="A3"/>
    </sheetView>
  </sheetViews>
  <sheetFormatPr baseColWidth="10" defaultRowHeight="12.75"/>
  <cols>
    <col min="1" max="1" width="18" customWidth="1"/>
    <col min="2" max="2" width="5.5703125" customWidth="1"/>
    <col min="3" max="3" width="8.5703125" customWidth="1"/>
    <col min="4" max="4" width="8.42578125" customWidth="1"/>
    <col min="5" max="5" width="13.42578125" customWidth="1"/>
    <col min="6" max="6" width="5.5703125" customWidth="1"/>
    <col min="8" max="8" width="6.7109375" customWidth="1"/>
    <col min="10" max="10" width="5.85546875" customWidth="1"/>
    <col min="11" max="11" width="11.42578125" customWidth="1"/>
    <col min="12" max="12" width="6" customWidth="1"/>
    <col min="13" max="13" width="16" customWidth="1"/>
  </cols>
  <sheetData>
    <row r="3" spans="1:13" ht="18">
      <c r="A3" s="2" t="s">
        <v>31</v>
      </c>
    </row>
    <row r="5" spans="1:13" ht="39" customHeight="1">
      <c r="A5" s="66" t="s">
        <v>50</v>
      </c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13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3" ht="13.5" thickBot="1"/>
    <row r="8" spans="1:13" ht="15">
      <c r="A8" s="20" t="s">
        <v>0</v>
      </c>
      <c r="B8" s="22" t="s">
        <v>2</v>
      </c>
      <c r="C8" s="60" t="s">
        <v>3</v>
      </c>
      <c r="D8" s="61"/>
      <c r="E8" s="60" t="s">
        <v>4</v>
      </c>
      <c r="F8" s="61"/>
      <c r="G8" s="60" t="s">
        <v>5</v>
      </c>
      <c r="H8" s="61"/>
      <c r="I8" s="60" t="s">
        <v>6</v>
      </c>
      <c r="J8" s="61"/>
      <c r="K8" s="60" t="s">
        <v>7</v>
      </c>
      <c r="L8" s="61"/>
      <c r="M8" s="20" t="s">
        <v>32</v>
      </c>
    </row>
    <row r="9" spans="1:13" ht="15.75" thickBot="1">
      <c r="A9" s="21"/>
      <c r="B9" s="23"/>
      <c r="C9" s="14" t="s">
        <v>1</v>
      </c>
      <c r="D9" s="15" t="s">
        <v>2</v>
      </c>
      <c r="E9" s="14" t="s">
        <v>1</v>
      </c>
      <c r="F9" s="15" t="s">
        <v>2</v>
      </c>
      <c r="G9" s="14" t="s">
        <v>1</v>
      </c>
      <c r="H9" s="15" t="s">
        <v>2</v>
      </c>
      <c r="I9" s="14" t="s">
        <v>1</v>
      </c>
      <c r="J9" s="15" t="s">
        <v>2</v>
      </c>
      <c r="K9" s="14" t="s">
        <v>1</v>
      </c>
      <c r="L9" s="15" t="s">
        <v>2</v>
      </c>
      <c r="M9" s="35" t="s">
        <v>33</v>
      </c>
    </row>
    <row r="10" spans="1:13" ht="13.5" thickBot="1">
      <c r="A10" s="29"/>
    </row>
    <row r="11" spans="1:13" ht="15">
      <c r="A11" s="16" t="s">
        <v>8</v>
      </c>
      <c r="B11" s="24">
        <v>5</v>
      </c>
      <c r="C11" s="42">
        <v>1671</v>
      </c>
      <c r="D11" s="5">
        <v>1</v>
      </c>
      <c r="E11" s="42">
        <v>1152</v>
      </c>
      <c r="F11" s="5">
        <v>1</v>
      </c>
      <c r="G11" s="42">
        <v>1310</v>
      </c>
      <c r="H11" s="5">
        <v>1</v>
      </c>
      <c r="I11" s="42">
        <v>2082</v>
      </c>
      <c r="J11" s="5">
        <v>2</v>
      </c>
      <c r="K11" s="42">
        <v>0</v>
      </c>
      <c r="L11" s="5">
        <v>0</v>
      </c>
      <c r="M11" s="44" t="s">
        <v>43</v>
      </c>
    </row>
    <row r="12" spans="1:13" ht="15">
      <c r="A12" s="17" t="s">
        <v>9</v>
      </c>
      <c r="B12" s="25">
        <v>8</v>
      </c>
      <c r="C12" s="40">
        <v>5306</v>
      </c>
      <c r="D12" s="7">
        <v>3</v>
      </c>
      <c r="E12" s="40">
        <v>1775</v>
      </c>
      <c r="F12" s="7">
        <v>1</v>
      </c>
      <c r="G12" s="40">
        <v>3099</v>
      </c>
      <c r="H12" s="7">
        <v>2</v>
      </c>
      <c r="I12" s="40">
        <v>3565</v>
      </c>
      <c r="J12" s="7">
        <v>2</v>
      </c>
      <c r="K12" s="40">
        <v>333</v>
      </c>
      <c r="L12" s="7">
        <v>0</v>
      </c>
      <c r="M12" s="45" t="s">
        <v>37</v>
      </c>
    </row>
    <row r="13" spans="1:13" ht="15">
      <c r="A13" s="18" t="s">
        <v>10</v>
      </c>
      <c r="B13" s="26">
        <v>3</v>
      </c>
      <c r="C13" s="41">
        <v>725</v>
      </c>
      <c r="D13" s="9">
        <v>1</v>
      </c>
      <c r="E13" s="41">
        <v>187</v>
      </c>
      <c r="F13" s="9">
        <v>0</v>
      </c>
      <c r="G13" s="41">
        <v>364</v>
      </c>
      <c r="H13" s="9">
        <v>1</v>
      </c>
      <c r="I13" s="41">
        <v>788</v>
      </c>
      <c r="J13" s="9">
        <v>1</v>
      </c>
      <c r="K13" s="41">
        <v>0</v>
      </c>
      <c r="L13" s="9">
        <v>0</v>
      </c>
      <c r="M13" s="46" t="s">
        <v>36</v>
      </c>
    </row>
    <row r="14" spans="1:13" ht="15">
      <c r="A14" s="17" t="s">
        <v>11</v>
      </c>
      <c r="B14" s="25">
        <v>2</v>
      </c>
      <c r="C14" s="40">
        <v>272</v>
      </c>
      <c r="D14" s="7">
        <v>1</v>
      </c>
      <c r="E14" s="40">
        <v>77</v>
      </c>
      <c r="F14" s="7">
        <v>0</v>
      </c>
      <c r="G14" s="40">
        <v>204</v>
      </c>
      <c r="H14" s="7">
        <v>0</v>
      </c>
      <c r="I14" s="40">
        <v>288</v>
      </c>
      <c r="J14" s="7">
        <v>1</v>
      </c>
      <c r="K14" s="40">
        <v>56</v>
      </c>
      <c r="L14" s="7">
        <v>0</v>
      </c>
      <c r="M14" s="45" t="s">
        <v>35</v>
      </c>
    </row>
    <row r="15" spans="1:13" ht="15">
      <c r="A15" s="18" t="s">
        <v>12</v>
      </c>
      <c r="B15" s="26">
        <v>6</v>
      </c>
      <c r="C15" s="41">
        <v>3647</v>
      </c>
      <c r="D15" s="9">
        <v>2</v>
      </c>
      <c r="E15" s="41">
        <v>1282</v>
      </c>
      <c r="F15" s="9">
        <v>1</v>
      </c>
      <c r="G15" s="41">
        <v>2215</v>
      </c>
      <c r="H15" s="9">
        <v>1</v>
      </c>
      <c r="I15" s="41">
        <v>2902</v>
      </c>
      <c r="J15" s="9">
        <v>2</v>
      </c>
      <c r="K15" s="41">
        <v>0</v>
      </c>
      <c r="L15" s="9">
        <v>0</v>
      </c>
      <c r="M15" s="46" t="s">
        <v>41</v>
      </c>
    </row>
    <row r="16" spans="1:13" ht="15">
      <c r="A16" s="17" t="s">
        <v>13</v>
      </c>
      <c r="B16" s="25">
        <v>3</v>
      </c>
      <c r="C16" s="40">
        <v>865</v>
      </c>
      <c r="D16" s="7">
        <v>1</v>
      </c>
      <c r="E16" s="40">
        <v>295</v>
      </c>
      <c r="F16" s="7">
        <v>1</v>
      </c>
      <c r="G16" s="40">
        <v>272</v>
      </c>
      <c r="H16" s="7">
        <v>0</v>
      </c>
      <c r="I16" s="40">
        <v>667</v>
      </c>
      <c r="J16" s="7">
        <v>1</v>
      </c>
      <c r="K16" s="40">
        <v>0</v>
      </c>
      <c r="L16" s="7">
        <v>0</v>
      </c>
      <c r="M16" s="45" t="s">
        <v>44</v>
      </c>
    </row>
    <row r="17" spans="1:13" ht="15">
      <c r="A17" s="18" t="s">
        <v>14</v>
      </c>
      <c r="B17" s="26">
        <v>8</v>
      </c>
      <c r="C17" s="41">
        <v>2560</v>
      </c>
      <c r="D17" s="9">
        <v>2</v>
      </c>
      <c r="E17" s="41">
        <v>1016</v>
      </c>
      <c r="F17" s="9">
        <v>1</v>
      </c>
      <c r="G17" s="41">
        <v>4436</v>
      </c>
      <c r="H17" s="9">
        <v>3</v>
      </c>
      <c r="I17" s="41">
        <v>4137</v>
      </c>
      <c r="J17" s="9">
        <v>2</v>
      </c>
      <c r="K17" s="41">
        <v>586</v>
      </c>
      <c r="L17" s="9">
        <v>0</v>
      </c>
      <c r="M17" s="46" t="s">
        <v>38</v>
      </c>
    </row>
    <row r="18" spans="1:13" ht="15">
      <c r="A18" s="17" t="s">
        <v>15</v>
      </c>
      <c r="B18" s="25">
        <v>4</v>
      </c>
      <c r="C18" s="40">
        <v>1868</v>
      </c>
      <c r="D18" s="7">
        <v>2</v>
      </c>
      <c r="E18" s="40">
        <v>438</v>
      </c>
      <c r="F18" s="7">
        <v>0</v>
      </c>
      <c r="G18" s="40">
        <v>594</v>
      </c>
      <c r="H18" s="7">
        <v>1</v>
      </c>
      <c r="I18" s="40">
        <v>1767</v>
      </c>
      <c r="J18" s="7">
        <v>1</v>
      </c>
      <c r="K18" s="40">
        <v>296</v>
      </c>
      <c r="L18" s="7">
        <v>0</v>
      </c>
      <c r="M18" s="45" t="s">
        <v>43</v>
      </c>
    </row>
    <row r="19" spans="1:13" ht="15">
      <c r="A19" s="18" t="s">
        <v>16</v>
      </c>
      <c r="B19" s="26">
        <v>12</v>
      </c>
      <c r="C19" s="41">
        <v>6768</v>
      </c>
      <c r="D19" s="9">
        <v>2</v>
      </c>
      <c r="E19" s="41">
        <v>7168</v>
      </c>
      <c r="F19" s="9">
        <v>2</v>
      </c>
      <c r="G19" s="41">
        <v>7376</v>
      </c>
      <c r="H19" s="9">
        <v>3</v>
      </c>
      <c r="I19" s="41">
        <v>8226</v>
      </c>
      <c r="J19" s="9">
        <v>3</v>
      </c>
      <c r="K19" s="41">
        <v>3856</v>
      </c>
      <c r="L19" s="9">
        <v>2</v>
      </c>
      <c r="M19" s="47" t="s">
        <v>40</v>
      </c>
    </row>
    <row r="20" spans="1:13" ht="15">
      <c r="A20" s="17" t="s">
        <v>17</v>
      </c>
      <c r="B20" s="25">
        <v>6</v>
      </c>
      <c r="C20" s="40">
        <v>1568</v>
      </c>
      <c r="D20" s="7">
        <v>1</v>
      </c>
      <c r="E20" s="40">
        <v>788</v>
      </c>
      <c r="F20" s="7">
        <v>1</v>
      </c>
      <c r="G20" s="40">
        <v>2946</v>
      </c>
      <c r="H20" s="7">
        <v>2</v>
      </c>
      <c r="I20" s="40">
        <v>2297</v>
      </c>
      <c r="J20" s="7">
        <v>1</v>
      </c>
      <c r="K20" s="40">
        <v>490</v>
      </c>
      <c r="L20" s="7">
        <v>1</v>
      </c>
      <c r="M20" s="45" t="s">
        <v>39</v>
      </c>
    </row>
    <row r="21" spans="1:13" ht="15">
      <c r="A21" s="18" t="s">
        <v>18</v>
      </c>
      <c r="B21" s="26">
        <v>3</v>
      </c>
      <c r="C21" s="41">
        <v>799</v>
      </c>
      <c r="D21" s="9">
        <v>1</v>
      </c>
      <c r="E21" s="41">
        <v>0</v>
      </c>
      <c r="F21" s="9">
        <v>0</v>
      </c>
      <c r="G21" s="41">
        <v>945</v>
      </c>
      <c r="H21" s="9">
        <v>1</v>
      </c>
      <c r="I21" s="41">
        <v>479</v>
      </c>
      <c r="J21" s="9">
        <v>1</v>
      </c>
      <c r="K21" s="41">
        <v>187</v>
      </c>
      <c r="L21" s="9">
        <v>0</v>
      </c>
      <c r="M21" s="46" t="s">
        <v>42</v>
      </c>
    </row>
    <row r="22" spans="1:13" ht="15.75" thickBot="1">
      <c r="A22" s="19"/>
      <c r="B22" s="27"/>
      <c r="C22" s="43"/>
      <c r="D22" s="11"/>
      <c r="E22" s="43"/>
      <c r="F22" s="11"/>
      <c r="G22" s="43"/>
      <c r="H22" s="11"/>
      <c r="I22" s="43"/>
      <c r="J22" s="11"/>
      <c r="K22" s="43"/>
      <c r="L22" s="9"/>
      <c r="M22" s="36"/>
    </row>
    <row r="23" spans="1:13" ht="15.75">
      <c r="A23" s="49" t="s">
        <v>19</v>
      </c>
      <c r="B23" s="50">
        <f t="shared" ref="B23:L23" si="0">SUM(B11:B22)</f>
        <v>60</v>
      </c>
      <c r="C23" s="51">
        <f t="shared" si="0"/>
        <v>26049</v>
      </c>
      <c r="D23" s="52">
        <f t="shared" si="0"/>
        <v>17</v>
      </c>
      <c r="E23" s="51">
        <f t="shared" si="0"/>
        <v>14178</v>
      </c>
      <c r="F23" s="52">
        <f t="shared" si="0"/>
        <v>8</v>
      </c>
      <c r="G23" s="51">
        <f t="shared" si="0"/>
        <v>23761</v>
      </c>
      <c r="H23" s="52">
        <f t="shared" si="0"/>
        <v>15</v>
      </c>
      <c r="I23" s="51">
        <f t="shared" si="0"/>
        <v>27198</v>
      </c>
      <c r="J23" s="52">
        <f t="shared" si="0"/>
        <v>17</v>
      </c>
      <c r="K23" s="51">
        <f t="shared" si="0"/>
        <v>5804</v>
      </c>
      <c r="L23" s="53">
        <f t="shared" si="0"/>
        <v>3</v>
      </c>
      <c r="M23" s="37"/>
    </row>
    <row r="24" spans="1:13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spans="1:13" ht="15.75">
      <c r="A25" s="55" t="s">
        <v>34</v>
      </c>
      <c r="B25" s="54"/>
      <c r="C25" s="62" t="s">
        <v>48</v>
      </c>
      <c r="D25" s="63"/>
      <c r="E25" s="62" t="s">
        <v>46</v>
      </c>
      <c r="F25" s="63"/>
      <c r="G25" s="62" t="s">
        <v>45</v>
      </c>
      <c r="H25" s="63"/>
      <c r="I25" s="62" t="s">
        <v>47</v>
      </c>
      <c r="J25" s="63"/>
      <c r="K25" s="64">
        <v>1088.25</v>
      </c>
      <c r="L25" s="65"/>
    </row>
    <row r="26" spans="1:13">
      <c r="C26" s="48"/>
      <c r="D26" s="48"/>
      <c r="E26" s="48"/>
      <c r="F26" s="48"/>
      <c r="G26" s="48"/>
      <c r="H26" s="48"/>
    </row>
    <row r="27" spans="1:13">
      <c r="C27" s="48"/>
      <c r="D27" s="48"/>
      <c r="E27" s="48"/>
      <c r="F27" s="48"/>
      <c r="G27" s="48"/>
      <c r="H27" s="48"/>
    </row>
    <row r="28" spans="1:13">
      <c r="C28" s="48"/>
      <c r="D28" s="48"/>
      <c r="E28" s="48"/>
      <c r="F28" s="48"/>
      <c r="G28" s="48"/>
      <c r="H28" s="48"/>
    </row>
    <row r="29" spans="1:13">
      <c r="C29" s="48"/>
      <c r="D29" s="48"/>
      <c r="E29" s="48"/>
      <c r="F29" s="48"/>
      <c r="G29" s="48"/>
      <c r="H29" s="48"/>
    </row>
  </sheetData>
  <mergeCells count="11">
    <mergeCell ref="A5:K6"/>
    <mergeCell ref="C8:D8"/>
    <mergeCell ref="E8:F8"/>
    <mergeCell ref="G8:H8"/>
    <mergeCell ref="I8:J8"/>
    <mergeCell ref="K8:L8"/>
    <mergeCell ref="C25:D25"/>
    <mergeCell ref="E25:F25"/>
    <mergeCell ref="G25:H25"/>
    <mergeCell ref="I25:J25"/>
    <mergeCell ref="K25:L25"/>
  </mergeCells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Basiszahlen</vt:lpstr>
      <vt:lpstr>Oberzuteilung</vt:lpstr>
      <vt:lpstr>Unterzuteilung</vt:lpstr>
    </vt:vector>
  </TitlesOfParts>
  <Company>Kantone Obwalden / Nidwalden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InformatikLeistungsZentrum</dc:creator>
  <cp:lastModifiedBy>InformatikLeistungsZentrum</cp:lastModifiedBy>
  <cp:lastPrinted>2014-03-18T15:51:50Z</cp:lastPrinted>
  <dcterms:created xsi:type="dcterms:W3CDTF">2014-03-17T14:04:45Z</dcterms:created>
  <dcterms:modified xsi:type="dcterms:W3CDTF">2014-05-27T15:01:58Z</dcterms:modified>
</cp:coreProperties>
</file>